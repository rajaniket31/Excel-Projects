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ajxani\Desktop\"/>
    </mc:Choice>
  </mc:AlternateContent>
  <xr:revisionPtr revIDLastSave="0" documentId="13_ncr:1_{F768C985-5B94-4882-A285-D11EBA820F1F}" xr6:coauthVersionLast="47" xr6:coauthVersionMax="47" xr10:uidLastSave="{00000000-0000-0000-0000-000000000000}"/>
  <bookViews>
    <workbookView xWindow="-110" yWindow="-110" windowWidth="19420" windowHeight="10300" xr2:uid="{00000000-000D-0000-FFFF-FFFF00000000}"/>
  </bookViews>
  <sheets>
    <sheet name="Bike Buyers" sheetId="1" r:id="rId1"/>
    <sheet name="Working" sheetId="2" r:id="rId2"/>
    <sheet name="Pivot Table" sheetId="3" r:id="rId3"/>
    <sheet name="Dashboard" sheetId="4" r:id="rId4"/>
  </sheets>
  <definedNames>
    <definedName name="_xlnm._FilterDatabase" localSheetId="0" hidden="1">'Bike Buyers'!$A$1:$M$1001</definedName>
    <definedName name="_xlnm._FilterDatabase" localSheetId="1" hidden="1">Working!$A$1:$N$1001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<sst xmlns="http://schemas.openxmlformats.org/spreadsheetml/2006/main" count="16274" uniqueCount="51">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</sst>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0"/>
      <color theme="0"/>
      <name val="Abadi"/>
      <family val="2"/>
    </font>
    <font>
      <sz val="11"/>
      <color theme="1"/>
      <name val="Abad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Alignment="1">
      <alignment horizontal="left"/>
    </xf>
    <xf numFmtId="0" fontId="18" fillId="0" borderId="0" xfId="0" applyFont="1" applyAlignment="1">
      <alignment horizontal="left"/>
    </xf>
    <xf numFmtId="165" fontId="0" fillId="0" borderId="0" xfId="0" applyNumberFormat="1" applyAlignment="1">
      <alignment horizontal="left"/>
    </xf>
    <xf numFmtId="0" fontId="0" fillId="0" borderId="0" xfId="0" pivotButton="1"/>
    <xf numFmtId="0" fontId="0" fillId="0" borderId="0" xfId="0" pivotButton="1" applyAlignment="1">
      <alignment horizontal="left"/>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33000</c:v>
                </c:pt>
                <c:pt idx="1">
                  <c:v>36363.63636363636</c:v>
                </c:pt>
              </c:numCache>
            </c:numRef>
          </c:val>
          <c:extLst>
            <c:ext xmlns:c16="http://schemas.microsoft.com/office/drawing/2014/chart" uri="{C3380CC4-5D6E-409C-BE32-E72D297353CC}">
              <c16:uniqueId val="{00000000-D44B-4CF2-B332-FC67DE206BB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26363.636363636364</c:v>
                </c:pt>
                <c:pt idx="1">
                  <c:v>34000</c:v>
                </c:pt>
              </c:numCache>
            </c:numRef>
          </c:val>
          <c:extLst>
            <c:ext xmlns:c16="http://schemas.microsoft.com/office/drawing/2014/chart" uri="{C3380CC4-5D6E-409C-BE32-E72D297353CC}">
              <c16:uniqueId val="{00000001-D44B-4CF2-B332-FC67DE206BB0}"/>
            </c:ext>
          </c:extLst>
        </c:ser>
        <c:dLbls>
          <c:showLegendKey val="0"/>
          <c:showVal val="0"/>
          <c:showCatName val="0"/>
          <c:showSerName val="0"/>
          <c:showPercent val="0"/>
          <c:showBubbleSize val="0"/>
        </c:dLbls>
        <c:gapWidth val="219"/>
        <c:overlap val="-27"/>
        <c:axId val="1538719696"/>
        <c:axId val="1538720176"/>
      </c:barChart>
      <c:catAx>
        <c:axId val="153871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20176"/>
        <c:crosses val="autoZero"/>
        <c:auto val="1"/>
        <c:lblAlgn val="ctr"/>
        <c:lblOffset val="100"/>
        <c:noMultiLvlLbl val="0"/>
      </c:catAx>
      <c:valAx>
        <c:axId val="153872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1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5</c:v>
                </c:pt>
                <c:pt idx="1">
                  <c:v>4</c:v>
                </c:pt>
                <c:pt idx="2">
                  <c:v>8</c:v>
                </c:pt>
                <c:pt idx="3">
                  <c:v>3</c:v>
                </c:pt>
                <c:pt idx="4">
                  <c:v>1</c:v>
                </c:pt>
              </c:numCache>
            </c:numRef>
          </c:val>
          <c:smooth val="0"/>
          <c:extLst>
            <c:ext xmlns:c16="http://schemas.microsoft.com/office/drawing/2014/chart" uri="{C3380CC4-5D6E-409C-BE32-E72D297353CC}">
              <c16:uniqueId val="{00000000-E2D7-4984-835C-9EC30FA76642}"/>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c:v>
                </c:pt>
                <c:pt idx="2">
                  <c:v>5</c:v>
                </c:pt>
                <c:pt idx="3">
                  <c:v>2</c:v>
                </c:pt>
              </c:numCache>
            </c:numRef>
          </c:val>
          <c:smooth val="0"/>
          <c:extLst>
            <c:ext xmlns:c16="http://schemas.microsoft.com/office/drawing/2014/chart" uri="{C3380CC4-5D6E-409C-BE32-E72D297353CC}">
              <c16:uniqueId val="{00000001-E2D7-4984-835C-9EC30FA76642}"/>
            </c:ext>
          </c:extLst>
        </c:ser>
        <c:dLbls>
          <c:showLegendKey val="0"/>
          <c:showVal val="0"/>
          <c:showCatName val="0"/>
          <c:showSerName val="0"/>
          <c:showPercent val="0"/>
          <c:showBubbleSize val="0"/>
        </c:dLbls>
        <c:smooth val="0"/>
        <c:axId val="1538738416"/>
        <c:axId val="1538739376"/>
      </c:lineChart>
      <c:catAx>
        <c:axId val="1538738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39376"/>
        <c:crosses val="autoZero"/>
        <c:auto val="1"/>
        <c:lblAlgn val="ctr"/>
        <c:lblOffset val="100"/>
        <c:noMultiLvlLbl val="0"/>
      </c:catAx>
      <c:valAx>
        <c:axId val="153873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3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8</c:v>
                </c:pt>
                <c:pt idx="1">
                  <c:v>11</c:v>
                </c:pt>
                <c:pt idx="2">
                  <c:v>2</c:v>
                </c:pt>
              </c:numCache>
            </c:numRef>
          </c:val>
          <c:smooth val="0"/>
          <c:extLst>
            <c:ext xmlns:c16="http://schemas.microsoft.com/office/drawing/2014/chart" uri="{C3380CC4-5D6E-409C-BE32-E72D297353CC}">
              <c16:uniqueId val="{00000000-E25E-40CC-AC9B-30C27E23D774}"/>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1">
                  <c:v>16</c:v>
                </c:pt>
              </c:numCache>
            </c:numRef>
          </c:val>
          <c:smooth val="0"/>
          <c:extLst>
            <c:ext xmlns:c16="http://schemas.microsoft.com/office/drawing/2014/chart" uri="{C3380CC4-5D6E-409C-BE32-E72D297353CC}">
              <c16:uniqueId val="{00000001-E25E-40CC-AC9B-30C27E23D774}"/>
            </c:ext>
          </c:extLst>
        </c:ser>
        <c:dLbls>
          <c:showLegendKey val="0"/>
          <c:showVal val="0"/>
          <c:showCatName val="0"/>
          <c:showSerName val="0"/>
          <c:showPercent val="0"/>
          <c:showBubbleSize val="0"/>
        </c:dLbls>
        <c:marker val="1"/>
        <c:smooth val="0"/>
        <c:axId val="1538746576"/>
        <c:axId val="1538747056"/>
      </c:lineChart>
      <c:catAx>
        <c:axId val="153874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47056"/>
        <c:crosses val="autoZero"/>
        <c:auto val="1"/>
        <c:lblAlgn val="ctr"/>
        <c:lblOffset val="100"/>
        <c:noMultiLvlLbl val="0"/>
      </c:catAx>
      <c:valAx>
        <c:axId val="153874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Table'!$A$72:$A$94</c:f>
              <c:strCache>
                <c:ptCount val="22"/>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42</c:v>
                </c:pt>
                <c:pt idx="15">
                  <c:v>43</c:v>
                </c:pt>
                <c:pt idx="16">
                  <c:v>45</c:v>
                </c:pt>
                <c:pt idx="17">
                  <c:v>46</c:v>
                </c:pt>
                <c:pt idx="18">
                  <c:v>50</c:v>
                </c:pt>
                <c:pt idx="19">
                  <c:v>51</c:v>
                </c:pt>
                <c:pt idx="20">
                  <c:v>56</c:v>
                </c:pt>
                <c:pt idx="21">
                  <c:v>57</c:v>
                </c:pt>
              </c:strCache>
            </c:strRef>
          </c:cat>
          <c:val>
            <c:numRef>
              <c:f>'Pivot Table'!$B$72:$B$94</c:f>
              <c:numCache>
                <c:formatCode>General</c:formatCode>
                <c:ptCount val="22"/>
                <c:pt idx="0">
                  <c:v>1</c:v>
                </c:pt>
                <c:pt idx="1">
                  <c:v>3</c:v>
                </c:pt>
                <c:pt idx="2">
                  <c:v>2</c:v>
                </c:pt>
                <c:pt idx="3">
                  <c:v>2</c:v>
                </c:pt>
                <c:pt idx="4">
                  <c:v>1</c:v>
                </c:pt>
                <c:pt idx="5">
                  <c:v>2</c:v>
                </c:pt>
                <c:pt idx="7">
                  <c:v>1</c:v>
                </c:pt>
                <c:pt idx="8">
                  <c:v>2</c:v>
                </c:pt>
                <c:pt idx="13">
                  <c:v>1</c:v>
                </c:pt>
                <c:pt idx="14">
                  <c:v>1</c:v>
                </c:pt>
                <c:pt idx="16">
                  <c:v>1</c:v>
                </c:pt>
                <c:pt idx="18">
                  <c:v>1</c:v>
                </c:pt>
                <c:pt idx="19">
                  <c:v>1</c:v>
                </c:pt>
                <c:pt idx="20">
                  <c:v>1</c:v>
                </c:pt>
                <c:pt idx="21">
                  <c:v>1</c:v>
                </c:pt>
              </c:numCache>
            </c:numRef>
          </c:val>
          <c:smooth val="0"/>
          <c:extLst>
            <c:ext xmlns:c16="http://schemas.microsoft.com/office/drawing/2014/chart" uri="{C3380CC4-5D6E-409C-BE32-E72D297353CC}">
              <c16:uniqueId val="{00000000-EFB6-4CDC-9002-51438957D303}"/>
            </c:ext>
          </c:extLst>
        </c:ser>
        <c:ser>
          <c:idx val="1"/>
          <c:order val="1"/>
          <c:tx>
            <c:strRef>
              <c:f>'Pivot Table'!$C$70:$C$71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Table'!$A$72:$A$94</c:f>
              <c:strCache>
                <c:ptCount val="22"/>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42</c:v>
                </c:pt>
                <c:pt idx="15">
                  <c:v>43</c:v>
                </c:pt>
                <c:pt idx="16">
                  <c:v>45</c:v>
                </c:pt>
                <c:pt idx="17">
                  <c:v>46</c:v>
                </c:pt>
                <c:pt idx="18">
                  <c:v>50</c:v>
                </c:pt>
                <c:pt idx="19">
                  <c:v>51</c:v>
                </c:pt>
                <c:pt idx="20">
                  <c:v>56</c:v>
                </c:pt>
                <c:pt idx="21">
                  <c:v>57</c:v>
                </c:pt>
              </c:strCache>
            </c:strRef>
          </c:cat>
          <c:val>
            <c:numRef>
              <c:f>'Pivot Table'!$C$72:$C$94</c:f>
              <c:numCache>
                <c:formatCode>General</c:formatCode>
                <c:ptCount val="22"/>
                <c:pt idx="5">
                  <c:v>1</c:v>
                </c:pt>
                <c:pt idx="6">
                  <c:v>1</c:v>
                </c:pt>
                <c:pt idx="7">
                  <c:v>2</c:v>
                </c:pt>
                <c:pt idx="8">
                  <c:v>1</c:v>
                </c:pt>
                <c:pt idx="9">
                  <c:v>2</c:v>
                </c:pt>
                <c:pt idx="10">
                  <c:v>1</c:v>
                </c:pt>
                <c:pt idx="11">
                  <c:v>2</c:v>
                </c:pt>
                <c:pt idx="12">
                  <c:v>1</c:v>
                </c:pt>
                <c:pt idx="13">
                  <c:v>1</c:v>
                </c:pt>
                <c:pt idx="14">
                  <c:v>1</c:v>
                </c:pt>
                <c:pt idx="15">
                  <c:v>1</c:v>
                </c:pt>
                <c:pt idx="17">
                  <c:v>1</c:v>
                </c:pt>
                <c:pt idx="18">
                  <c:v>1</c:v>
                </c:pt>
              </c:numCache>
            </c:numRef>
          </c:val>
          <c:smooth val="0"/>
          <c:extLst>
            <c:ext xmlns:c16="http://schemas.microsoft.com/office/drawing/2014/chart" uri="{C3380CC4-5D6E-409C-BE32-E72D297353CC}">
              <c16:uniqueId val="{00000001-EFB6-4CDC-9002-51438957D303}"/>
            </c:ext>
          </c:extLst>
        </c:ser>
        <c:dLbls>
          <c:showLegendKey val="0"/>
          <c:showVal val="0"/>
          <c:showCatName val="0"/>
          <c:showSerName val="0"/>
          <c:showPercent val="0"/>
          <c:showBubbleSize val="0"/>
        </c:dLbls>
        <c:marker val="1"/>
        <c:smooth val="0"/>
        <c:axId val="1538755696"/>
        <c:axId val="1538757136"/>
      </c:lineChart>
      <c:catAx>
        <c:axId val="15387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57136"/>
        <c:crosses val="autoZero"/>
        <c:auto val="1"/>
        <c:lblAlgn val="ctr"/>
        <c:lblOffset val="100"/>
        <c:noMultiLvlLbl val="0"/>
      </c:catAx>
      <c:valAx>
        <c:axId val="153875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5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33000</c:v>
                </c:pt>
                <c:pt idx="1">
                  <c:v>36363.63636363636</c:v>
                </c:pt>
              </c:numCache>
            </c:numRef>
          </c:val>
          <c:extLst>
            <c:ext xmlns:c16="http://schemas.microsoft.com/office/drawing/2014/chart" uri="{C3380CC4-5D6E-409C-BE32-E72D297353CC}">
              <c16:uniqueId val="{00000000-2DAF-428F-A1A6-6824F8B6ACB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26363.636363636364</c:v>
                </c:pt>
                <c:pt idx="1">
                  <c:v>34000</c:v>
                </c:pt>
              </c:numCache>
            </c:numRef>
          </c:val>
          <c:extLst>
            <c:ext xmlns:c16="http://schemas.microsoft.com/office/drawing/2014/chart" uri="{C3380CC4-5D6E-409C-BE32-E72D297353CC}">
              <c16:uniqueId val="{00000001-2DAF-428F-A1A6-6824F8B6ACBB}"/>
            </c:ext>
          </c:extLst>
        </c:ser>
        <c:dLbls>
          <c:showLegendKey val="0"/>
          <c:showVal val="0"/>
          <c:showCatName val="0"/>
          <c:showSerName val="0"/>
          <c:showPercent val="0"/>
          <c:showBubbleSize val="0"/>
        </c:dLbls>
        <c:gapWidth val="219"/>
        <c:overlap val="-27"/>
        <c:axId val="1538719696"/>
        <c:axId val="1538720176"/>
      </c:barChart>
      <c:catAx>
        <c:axId val="153871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20176"/>
        <c:crosses val="autoZero"/>
        <c:auto val="1"/>
        <c:lblAlgn val="ctr"/>
        <c:lblOffset val="100"/>
        <c:noMultiLvlLbl val="0"/>
      </c:catAx>
      <c:valAx>
        <c:axId val="153872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1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5</c:v>
                </c:pt>
                <c:pt idx="1">
                  <c:v>4</c:v>
                </c:pt>
                <c:pt idx="2">
                  <c:v>8</c:v>
                </c:pt>
                <c:pt idx="3">
                  <c:v>3</c:v>
                </c:pt>
                <c:pt idx="4">
                  <c:v>1</c:v>
                </c:pt>
              </c:numCache>
            </c:numRef>
          </c:val>
          <c:smooth val="0"/>
          <c:extLst>
            <c:ext xmlns:c16="http://schemas.microsoft.com/office/drawing/2014/chart" uri="{C3380CC4-5D6E-409C-BE32-E72D297353CC}">
              <c16:uniqueId val="{00000000-307E-4376-A2A8-DB6E087F4F3F}"/>
            </c:ext>
          </c:extLst>
        </c:ser>
        <c:ser>
          <c:idx val="1"/>
          <c:order val="1"/>
          <c:tx>
            <c:strRef>
              <c:f>'Pivot Table'!$C$24:$C$25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c:v>
                </c:pt>
                <c:pt idx="2">
                  <c:v>5</c:v>
                </c:pt>
                <c:pt idx="3">
                  <c:v>2</c:v>
                </c:pt>
              </c:numCache>
            </c:numRef>
          </c:val>
          <c:smooth val="0"/>
          <c:extLst>
            <c:ext xmlns:c16="http://schemas.microsoft.com/office/drawing/2014/chart" uri="{C3380CC4-5D6E-409C-BE32-E72D297353CC}">
              <c16:uniqueId val="{00000001-307E-4376-A2A8-DB6E087F4F3F}"/>
            </c:ext>
          </c:extLst>
        </c:ser>
        <c:dLbls>
          <c:showLegendKey val="0"/>
          <c:showVal val="0"/>
          <c:showCatName val="0"/>
          <c:showSerName val="0"/>
          <c:showPercent val="0"/>
          <c:showBubbleSize val="0"/>
        </c:dLbls>
        <c:marker val="1"/>
        <c:smooth val="0"/>
        <c:axId val="1538738416"/>
        <c:axId val="1538739376"/>
      </c:lineChart>
      <c:catAx>
        <c:axId val="15387384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739376"/>
        <c:crosses val="autoZero"/>
        <c:auto val="1"/>
        <c:lblAlgn val="ctr"/>
        <c:lblOffset val="100"/>
        <c:noMultiLvlLbl val="0"/>
      </c:catAx>
      <c:valAx>
        <c:axId val="15387393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 of Purchase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73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8</c:v>
                </c:pt>
                <c:pt idx="1">
                  <c:v>11</c:v>
                </c:pt>
                <c:pt idx="2">
                  <c:v>2</c:v>
                </c:pt>
              </c:numCache>
            </c:numRef>
          </c:val>
          <c:smooth val="0"/>
          <c:extLst>
            <c:ext xmlns:c16="http://schemas.microsoft.com/office/drawing/2014/chart" uri="{C3380CC4-5D6E-409C-BE32-E72D297353CC}">
              <c16:uniqueId val="{00000000-7035-4654-A9C4-5585142739B3}"/>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1">
                  <c:v>16</c:v>
                </c:pt>
              </c:numCache>
            </c:numRef>
          </c:val>
          <c:smooth val="0"/>
          <c:extLst>
            <c:ext xmlns:c16="http://schemas.microsoft.com/office/drawing/2014/chart" uri="{C3380CC4-5D6E-409C-BE32-E72D297353CC}">
              <c16:uniqueId val="{00000001-7035-4654-A9C4-5585142739B3}"/>
            </c:ext>
          </c:extLst>
        </c:ser>
        <c:dLbls>
          <c:showLegendKey val="0"/>
          <c:showVal val="0"/>
          <c:showCatName val="0"/>
          <c:showSerName val="0"/>
          <c:showPercent val="0"/>
          <c:showBubbleSize val="0"/>
        </c:dLbls>
        <c:marker val="1"/>
        <c:smooth val="0"/>
        <c:axId val="1538746576"/>
        <c:axId val="1538747056"/>
      </c:lineChart>
      <c:catAx>
        <c:axId val="153874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47056"/>
        <c:crosses val="autoZero"/>
        <c:auto val="1"/>
        <c:lblAlgn val="ctr"/>
        <c:lblOffset val="100"/>
        <c:noMultiLvlLbl val="0"/>
      </c:catAx>
      <c:valAx>
        <c:axId val="153874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147637</xdr:colOff>
      <xdr:row>0</xdr:row>
      <xdr:rowOff>63500</xdr:rowOff>
    </xdr:from>
    <xdr:to>
      <xdr:col>11</xdr:col>
      <xdr:colOff>452437</xdr:colOff>
      <xdr:row>17</xdr:row>
      <xdr:rowOff>133350</xdr:rowOff>
    </xdr:to>
    <xdr:graphicFrame macro="">
      <xdr:nvGraphicFramePr>
        <xdr:cNvPr id="3" name="Chart 2">
          <a:extLst>
            <a:ext uri="{FF2B5EF4-FFF2-40B4-BE49-F238E27FC236}">
              <a16:creationId xmlns:a16="http://schemas.microsoft.com/office/drawing/2014/main" id="{56646798-00C9-4553-F46D-49CC0D31A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147637</xdr:colOff>
      <xdr:row>23</xdr:row>
      <xdr:rowOff>63500</xdr:rowOff>
    </xdr:from>
    <xdr:to>
      <xdr:col>11</xdr:col>
      <xdr:colOff>452437</xdr:colOff>
      <xdr:row>40</xdr:row>
      <xdr:rowOff>133350</xdr:rowOff>
    </xdr:to>
    <xdr:graphicFrame macro="">
      <xdr:nvGraphicFramePr>
        <xdr:cNvPr id="4" name="Chart 3">
          <a:extLst>
            <a:ext uri="{FF2B5EF4-FFF2-40B4-BE49-F238E27FC236}">
              <a16:creationId xmlns:a16="http://schemas.microsoft.com/office/drawing/2014/main" id="{A0C1D4D4-FAB6-1233-43A7-2BD6AB4E1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147637</xdr:colOff>
      <xdr:row>46</xdr:row>
      <xdr:rowOff>57150</xdr:rowOff>
    </xdr:from>
    <xdr:to>
      <xdr:col>11</xdr:col>
      <xdr:colOff>452437</xdr:colOff>
      <xdr:row>63</xdr:row>
      <xdr:rowOff>127000</xdr:rowOff>
    </xdr:to>
    <xdr:graphicFrame macro="">
      <xdr:nvGraphicFramePr>
        <xdr:cNvPr id="5" name="Chart 4">
          <a:extLst>
            <a:ext uri="{FF2B5EF4-FFF2-40B4-BE49-F238E27FC236}">
              <a16:creationId xmlns:a16="http://schemas.microsoft.com/office/drawing/2014/main" id="{62DFE58F-3F6D-AC3D-BF22-62F982F03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147637</xdr:colOff>
      <xdr:row>69</xdr:row>
      <xdr:rowOff>63500</xdr:rowOff>
    </xdr:from>
    <xdr:to>
      <xdr:col>11</xdr:col>
      <xdr:colOff>452437</xdr:colOff>
      <xdr:row>86</xdr:row>
      <xdr:rowOff>133350</xdr:rowOff>
    </xdr:to>
    <xdr:graphicFrame macro="">
      <xdr:nvGraphicFramePr>
        <xdr:cNvPr id="6" name="Chart 5">
          <a:extLst>
            <a:ext uri="{FF2B5EF4-FFF2-40B4-BE49-F238E27FC236}">
              <a16:creationId xmlns:a16="http://schemas.microsoft.com/office/drawing/2014/main" id="{F2155DA2-7D9D-885A-E359-4ADE396D2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523875</xdr:colOff>
      <xdr:row>6</xdr:row>
      <xdr:rowOff>28574</xdr:rowOff>
    </xdr:from>
    <xdr:to>
      <xdr:col>11</xdr:col>
      <xdr:colOff>185208</xdr:colOff>
      <xdr:row>23</xdr:row>
      <xdr:rowOff>170391</xdr:rowOff>
    </xdr:to>
    <xdr:graphicFrame macro="">
      <xdr:nvGraphicFramePr>
        <xdr:cNvPr id="2" name="Chart 1">
          <a:extLst>
            <a:ext uri="{FF2B5EF4-FFF2-40B4-BE49-F238E27FC236}">
              <a16:creationId xmlns:a16="http://schemas.microsoft.com/office/drawing/2014/main" id="{5A8531A5-03CD-4402-8F67-35AECCD34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25</xdr:row>
      <xdr:rowOff>166159</xdr:rowOff>
    </xdr:from>
    <xdr:to>
      <xdr:col>19</xdr:col>
      <xdr:colOff>303742</xdr:colOff>
      <xdr:row>43</xdr:row>
      <xdr:rowOff>128059</xdr:rowOff>
    </xdr:to>
    <xdr:graphicFrame macro="">
      <xdr:nvGraphicFramePr>
        <xdr:cNvPr id="3" name="Chart 2">
          <a:extLst>
            <a:ext uri="{FF2B5EF4-FFF2-40B4-BE49-F238E27FC236}">
              <a16:creationId xmlns:a16="http://schemas.microsoft.com/office/drawing/2014/main" id="{250B5D76-7925-4467-B1DB-E64184871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xdr:colOff>
      <xdr:row>6</xdr:row>
      <xdr:rowOff>28574</xdr:rowOff>
    </xdr:from>
    <xdr:to>
      <xdr:col>19</xdr:col>
      <xdr:colOff>303742</xdr:colOff>
      <xdr:row>23</xdr:row>
      <xdr:rowOff>170391</xdr:rowOff>
    </xdr:to>
    <xdr:graphicFrame macro="">
      <xdr:nvGraphicFramePr>
        <xdr:cNvPr id="4" name="Chart 3">
          <a:extLst>
            <a:ext uri="{FF2B5EF4-FFF2-40B4-BE49-F238E27FC236}">
              <a16:creationId xmlns:a16="http://schemas.microsoft.com/office/drawing/2014/main" id="{43E9ED02-F067-4C9D-8480-D58C1863C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278605</xdr:colOff>
      <xdr:row>6</xdr:row>
      <xdr:rowOff>28574</xdr:rowOff>
    </xdr:from>
    <xdr:to>
      <xdr:col>3</xdr:col>
      <xdr:colOff>265905</xdr:colOff>
      <xdr:row>12</xdr:row>
      <xdr:rowOff>46354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8DA0B29-FC8F-EE82-9F90-5F02A9E33B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78605" y="1108074"/>
              <a:ext cx="18288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278605</xdr:colOff>
      <xdr:row>29</xdr:row>
      <xdr:rowOff>86573</xdr:rowOff>
    </xdr:from>
    <xdr:to>
      <xdr:col>3</xdr:col>
      <xdr:colOff>265905</xdr:colOff>
      <xdr:row>40</xdr:row>
      <xdr:rowOff>27729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1360425-A923-E9CF-A783-C5282BC7F12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78605" y="5304156"/>
              <a:ext cx="182880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278605</xdr:colOff>
      <xdr:row>16</xdr:row>
      <xdr:rowOff>58207</xdr:rowOff>
    </xdr:from>
    <xdr:to>
      <xdr:col>3</xdr:col>
      <xdr:colOff>265905</xdr:colOff>
      <xdr:row>23</xdr:row>
      <xdr:rowOff>170391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3391D4C-768A-9FB5-BD22-96E2D6E0E2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8605" y="2936874"/>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Aniket" refreshedDate="46063.475306134256" createdVersion="8" refreshedVersion="8" minRefreshableVersion="3" recordCount="1000" xr:uid="{EE6A6F61-2423-4AB8-A331-44E01F5D33EB}">
  <cacheSource type="worksheet">
    <worksheetSource ref="A1:N1001" sheet="Working"/>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24621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3F5231-9008-42E7-B585-4FED46420FF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0:D94"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2"/>
    </i>
    <i>
      <x v="3"/>
    </i>
    <i>
      <x v="4"/>
    </i>
    <i>
      <x v="5"/>
    </i>
    <i>
      <x v="6"/>
    </i>
    <i>
      <x v="7"/>
    </i>
    <i>
      <x v="8"/>
    </i>
    <i>
      <x v="9"/>
    </i>
    <i>
      <x v="10"/>
    </i>
    <i>
      <x v="11"/>
    </i>
    <i>
      <x v="12"/>
    </i>
    <i>
      <x v="13"/>
    </i>
    <i>
      <x v="14"/>
    </i>
    <i>
      <x v="15"/>
    </i>
    <i>
      <x v="17"/>
    </i>
    <i>
      <x v="18"/>
    </i>
    <i>
      <x v="20"/>
    </i>
    <i>
      <x v="21"/>
    </i>
    <i>
      <x v="25"/>
    </i>
    <i>
      <x v="26"/>
    </i>
    <i>
      <x v="31"/>
    </i>
    <i>
      <x v="3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0C9015-59DC-4283-90FD-E7BB84D29B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D52"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9391C9-CD59-4790-A7E0-4262C3C0B8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E5ED16-DB59-4C21-A059-5BA6646C81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13" count="0"/>
        </references>
      </pivotArea>
    </format>
    <format dxfId="10">
      <pivotArea dataOnly="0" labelOnly="1" grandCol="1"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AD4B42-7A59-4B7A-B1B7-6CFDC6764B1C}" sourceName="Marital Status">
  <pivotTables>
    <pivotTable tabId="3" name="PivotTable1"/>
    <pivotTable tabId="3" name="PivotTable2"/>
    <pivotTable tabId="3" name="PivotTable3"/>
    <pivotTable tabId="3" name="PivotTable4"/>
  </pivotTables>
  <data>
    <tabular pivotCacheId="132462177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81FC6C3-D1EA-494A-B1B3-385A33FBDF4A}" sourceName="Education">
  <pivotTables>
    <pivotTable tabId="3" name="PivotTable1"/>
    <pivotTable tabId="3" name="PivotTable2"/>
    <pivotTable tabId="3" name="PivotTable3"/>
    <pivotTable tabId="3" name="PivotTable4"/>
  </pivotTables>
  <data>
    <tabular pivotCacheId="1324621778">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FA0D5B-2674-4D94-9F7E-B99060333013}" sourceName="Region">
  <pivotTables>
    <pivotTable tabId="3" name="PivotTable1"/>
    <pivotTable tabId="3" name="PivotTable2"/>
    <pivotTable tabId="3" name="PivotTable3"/>
    <pivotTable tabId="3" name="PivotTable4"/>
  </pivotTables>
  <data>
    <tabular pivotCacheId="132462177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D1F7197-E219-4052-87F2-316FFA5AAD5B}" cache="Slicer_Marital_Status" caption="Marital Status" rowHeight="241300"/>
  <slicer name="Education" xr10:uid="{CFE3354F-A608-423F-ABC5-1B524B681D48}" cache="Slicer_Education" caption="Education" rowHeight="241300"/>
  <slicer name="Region" xr10:uid="{149F8996-30DF-45B0-B692-CA66A20B0F9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6019-55E8-4F2E-BBE3-C0A8696B6FBD}">
  <dimension ref="A1:N1001"/>
  <sheetViews>
    <sheetView topLeftCell="C1" workbookViewId="0">
      <selection activeCell="C1" sqref="C1"/>
    </sheetView>
  </sheetViews>
  <sheetFormatPr defaultColWidth="11.90625" defaultRowHeight="14.5" x14ac:dyDescent="0.35"/>
  <cols>
    <col min="1" max="1" width="8.6328125" style="3" customWidth="1"/>
    <col min="2" max="2" width="14.6328125" style="3" customWidth="1"/>
    <col min="3" max="3" width="10.6328125" style="3" customWidth="1"/>
    <col min="4" max="4" width="13.6328125" style="5" customWidth="1"/>
    <col min="5" max="5" width="11.90625" style="3"/>
    <col min="6" max="7" width="17.6328125" style="3" customWidth="1"/>
    <col min="8" max="8" width="14.6328125" style="3" customWidth="1"/>
    <col min="9" max="9" width="11.90625" style="3"/>
    <col min="10" max="10" width="19.6328125" style="3" customWidth="1"/>
    <col min="11" max="12" width="11.90625" style="3"/>
    <col min="13" max="13" width="14.6328125" style="3" customWidth="1"/>
    <col min="14" max="14" width="15.6328125" style="3" customWidth="1"/>
    <col min="15" max="16384" width="11.90625" style="3"/>
  </cols>
  <sheetData>
    <row r="1" spans="1:14" x14ac:dyDescent="0.35">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35">
      <c r="A2" s="3">
        <v>12496</v>
      </c>
      <c r="B2" s="3" t="s">
        <v>36</v>
      </c>
      <c r="C2" s="3" t="s">
        <v>38</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35">
      <c r="A3" s="3">
        <v>24107</v>
      </c>
      <c r="B3" s="3" t="s">
        <v>36</v>
      </c>
      <c r="C3" s="3" t="s">
        <v>39</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35">
      <c r="A4" s="3">
        <v>14177</v>
      </c>
      <c r="B4" s="3" t="s">
        <v>36</v>
      </c>
      <c r="C4" s="3" t="s">
        <v>39</v>
      </c>
      <c r="D4" s="5">
        <v>80000</v>
      </c>
      <c r="E4" s="3">
        <v>5</v>
      </c>
      <c r="F4" s="3" t="s">
        <v>19</v>
      </c>
      <c r="G4" s="3" t="s">
        <v>21</v>
      </c>
      <c r="H4" s="3" t="s">
        <v>18</v>
      </c>
      <c r="I4" s="3">
        <v>2</v>
      </c>
      <c r="J4" s="3" t="s">
        <v>22</v>
      </c>
      <c r="K4" s="3" t="s">
        <v>17</v>
      </c>
      <c r="L4" s="3">
        <v>60</v>
      </c>
      <c r="M4" s="3" t="str">
        <f t="shared" si="0"/>
        <v>Old</v>
      </c>
      <c r="N4" s="3" t="s">
        <v>18</v>
      </c>
    </row>
    <row r="5" spans="1:14" x14ac:dyDescent="0.35">
      <c r="A5" s="3">
        <v>24381</v>
      </c>
      <c r="B5" s="3" t="s">
        <v>37</v>
      </c>
      <c r="C5" s="3" t="s">
        <v>39</v>
      </c>
      <c r="D5" s="5">
        <v>70000</v>
      </c>
      <c r="E5" s="3">
        <v>0</v>
      </c>
      <c r="F5" s="3" t="s">
        <v>13</v>
      </c>
      <c r="G5" s="3" t="s">
        <v>21</v>
      </c>
      <c r="H5" s="3" t="s">
        <v>15</v>
      </c>
      <c r="I5" s="3">
        <v>1</v>
      </c>
      <c r="J5" s="3" t="s">
        <v>23</v>
      </c>
      <c r="K5" s="3" t="s">
        <v>24</v>
      </c>
      <c r="L5" s="3">
        <v>41</v>
      </c>
      <c r="M5" s="3" t="str">
        <f t="shared" si="0"/>
        <v>Middle Age</v>
      </c>
      <c r="N5" s="3" t="s">
        <v>15</v>
      </c>
    </row>
    <row r="6" spans="1:14" x14ac:dyDescent="0.35">
      <c r="A6" s="3">
        <v>25597</v>
      </c>
      <c r="B6" s="3" t="s">
        <v>37</v>
      </c>
      <c r="C6" s="3" t="s">
        <v>39</v>
      </c>
      <c r="D6" s="5">
        <v>30000</v>
      </c>
      <c r="E6" s="3">
        <v>0</v>
      </c>
      <c r="F6" s="3" t="s">
        <v>13</v>
      </c>
      <c r="G6" s="3" t="s">
        <v>20</v>
      </c>
      <c r="H6" s="3" t="s">
        <v>18</v>
      </c>
      <c r="I6" s="3">
        <v>0</v>
      </c>
      <c r="J6" s="3" t="s">
        <v>16</v>
      </c>
      <c r="K6" s="3" t="s">
        <v>17</v>
      </c>
      <c r="L6" s="3">
        <v>36</v>
      </c>
      <c r="M6" s="3" t="str">
        <f t="shared" si="0"/>
        <v>Middle Age</v>
      </c>
      <c r="N6" s="3" t="s">
        <v>15</v>
      </c>
    </row>
    <row r="7" spans="1:14" x14ac:dyDescent="0.35">
      <c r="A7" s="3">
        <v>13507</v>
      </c>
      <c r="B7" s="3" t="s">
        <v>36</v>
      </c>
      <c r="C7" s="3" t="s">
        <v>38</v>
      </c>
      <c r="D7" s="5">
        <v>10000</v>
      </c>
      <c r="E7" s="3">
        <v>2</v>
      </c>
      <c r="F7" s="3" t="s">
        <v>19</v>
      </c>
      <c r="G7" s="3" t="s">
        <v>25</v>
      </c>
      <c r="H7" s="3" t="s">
        <v>15</v>
      </c>
      <c r="I7" s="3">
        <v>0</v>
      </c>
      <c r="J7" s="3" t="s">
        <v>26</v>
      </c>
      <c r="K7" s="3" t="s">
        <v>17</v>
      </c>
      <c r="L7" s="3">
        <v>50</v>
      </c>
      <c r="M7" s="3" t="str">
        <f t="shared" si="0"/>
        <v>Middle Age</v>
      </c>
      <c r="N7" s="3" t="s">
        <v>18</v>
      </c>
    </row>
    <row r="8" spans="1:14" x14ac:dyDescent="0.35">
      <c r="A8" s="3">
        <v>27974</v>
      </c>
      <c r="B8" s="3" t="s">
        <v>37</v>
      </c>
      <c r="C8" s="3" t="s">
        <v>39</v>
      </c>
      <c r="D8" s="5">
        <v>160000</v>
      </c>
      <c r="E8" s="3">
        <v>2</v>
      </c>
      <c r="F8" s="3" t="s">
        <v>27</v>
      </c>
      <c r="G8" s="3" t="s">
        <v>28</v>
      </c>
      <c r="H8" s="3" t="s">
        <v>15</v>
      </c>
      <c r="I8" s="3">
        <v>4</v>
      </c>
      <c r="J8" s="3" t="s">
        <v>16</v>
      </c>
      <c r="K8" s="3" t="s">
        <v>24</v>
      </c>
      <c r="L8" s="3">
        <v>33</v>
      </c>
      <c r="M8" s="3" t="str">
        <f t="shared" si="0"/>
        <v>Middle Age</v>
      </c>
      <c r="N8" s="3" t="s">
        <v>15</v>
      </c>
    </row>
    <row r="9" spans="1:14" x14ac:dyDescent="0.35">
      <c r="A9" s="3">
        <v>19364</v>
      </c>
      <c r="B9" s="3" t="s">
        <v>36</v>
      </c>
      <c r="C9" s="3" t="s">
        <v>39</v>
      </c>
      <c r="D9" s="5">
        <v>40000</v>
      </c>
      <c r="E9" s="3">
        <v>1</v>
      </c>
      <c r="F9" s="3" t="s">
        <v>13</v>
      </c>
      <c r="G9" s="3" t="s">
        <v>14</v>
      </c>
      <c r="H9" s="3" t="s">
        <v>15</v>
      </c>
      <c r="I9" s="3">
        <v>0</v>
      </c>
      <c r="J9" s="3" t="s">
        <v>16</v>
      </c>
      <c r="K9" s="3" t="s">
        <v>17</v>
      </c>
      <c r="L9" s="3">
        <v>43</v>
      </c>
      <c r="M9" s="3" t="str">
        <f t="shared" si="0"/>
        <v>Middle Age</v>
      </c>
      <c r="N9" s="3" t="s">
        <v>15</v>
      </c>
    </row>
    <row r="10" spans="1:14" x14ac:dyDescent="0.35">
      <c r="A10" s="3">
        <v>22155</v>
      </c>
      <c r="B10" s="3" t="s">
        <v>36</v>
      </c>
      <c r="C10" s="3" t="s">
        <v>39</v>
      </c>
      <c r="D10" s="5">
        <v>20000</v>
      </c>
      <c r="E10" s="3">
        <v>2</v>
      </c>
      <c r="F10" s="3" t="s">
        <v>29</v>
      </c>
      <c r="G10" s="3" t="s">
        <v>20</v>
      </c>
      <c r="H10" s="3" t="s">
        <v>15</v>
      </c>
      <c r="I10" s="3">
        <v>2</v>
      </c>
      <c r="J10" s="3" t="s">
        <v>23</v>
      </c>
      <c r="K10" s="3" t="s">
        <v>24</v>
      </c>
      <c r="L10" s="3">
        <v>58</v>
      </c>
      <c r="M10" s="3" t="str">
        <f t="shared" si="0"/>
        <v>Old</v>
      </c>
      <c r="N10" s="3" t="s">
        <v>18</v>
      </c>
    </row>
    <row r="11" spans="1:14" x14ac:dyDescent="0.35">
      <c r="A11" s="3">
        <v>19280</v>
      </c>
      <c r="B11" s="3" t="s">
        <v>36</v>
      </c>
      <c r="C11" s="3" t="s">
        <v>39</v>
      </c>
      <c r="D11" s="5">
        <v>120000</v>
      </c>
      <c r="E11" s="3">
        <v>2</v>
      </c>
      <c r="F11" s="3" t="s">
        <v>19</v>
      </c>
      <c r="G11" s="3" t="s">
        <v>25</v>
      </c>
      <c r="H11" s="3" t="s">
        <v>15</v>
      </c>
      <c r="I11" s="3">
        <v>1</v>
      </c>
      <c r="J11" s="3" t="s">
        <v>16</v>
      </c>
      <c r="K11" s="3" t="s">
        <v>17</v>
      </c>
      <c r="L11" s="3">
        <v>40</v>
      </c>
      <c r="M11" s="3" t="str">
        <f t="shared" si="0"/>
        <v>Middle Age</v>
      </c>
      <c r="N11" s="3" t="s">
        <v>15</v>
      </c>
    </row>
    <row r="12" spans="1:14" x14ac:dyDescent="0.35">
      <c r="A12" s="3">
        <v>22173</v>
      </c>
      <c r="B12" s="3" t="s">
        <v>36</v>
      </c>
      <c r="C12" s="3" t="s">
        <v>38</v>
      </c>
      <c r="D12" s="5">
        <v>30000</v>
      </c>
      <c r="E12" s="3">
        <v>3</v>
      </c>
      <c r="F12" s="3" t="s">
        <v>27</v>
      </c>
      <c r="G12" s="3" t="s">
        <v>14</v>
      </c>
      <c r="H12" s="3" t="s">
        <v>18</v>
      </c>
      <c r="I12" s="3">
        <v>2</v>
      </c>
      <c r="J12" s="3" t="s">
        <v>26</v>
      </c>
      <c r="K12" s="3" t="s">
        <v>24</v>
      </c>
      <c r="L12" s="3">
        <v>54</v>
      </c>
      <c r="M12" s="3" t="str">
        <f t="shared" si="0"/>
        <v>Middle Age</v>
      </c>
      <c r="N12" s="3" t="s">
        <v>15</v>
      </c>
    </row>
    <row r="13" spans="1:14" x14ac:dyDescent="0.35">
      <c r="A13" s="3">
        <v>12697</v>
      </c>
      <c r="B13" s="3" t="s">
        <v>37</v>
      </c>
      <c r="C13" s="3" t="s">
        <v>38</v>
      </c>
      <c r="D13" s="5">
        <v>90000</v>
      </c>
      <c r="E13" s="3">
        <v>0</v>
      </c>
      <c r="F13" s="3" t="s">
        <v>13</v>
      </c>
      <c r="G13" s="3" t="s">
        <v>21</v>
      </c>
      <c r="H13" s="3" t="s">
        <v>18</v>
      </c>
      <c r="I13" s="3">
        <v>4</v>
      </c>
      <c r="J13" s="3" t="s">
        <v>46</v>
      </c>
      <c r="K13" s="3" t="s">
        <v>24</v>
      </c>
      <c r="L13" s="3">
        <v>36</v>
      </c>
      <c r="M13" s="3" t="str">
        <f t="shared" si="0"/>
        <v>Middle Age</v>
      </c>
      <c r="N13" s="3" t="s">
        <v>18</v>
      </c>
    </row>
    <row r="14" spans="1:14" x14ac:dyDescent="0.35">
      <c r="A14" s="3">
        <v>11434</v>
      </c>
      <c r="B14" s="3" t="s">
        <v>36</v>
      </c>
      <c r="C14" s="3" t="s">
        <v>39</v>
      </c>
      <c r="D14" s="5">
        <v>170000</v>
      </c>
      <c r="E14" s="3">
        <v>5</v>
      </c>
      <c r="F14" s="3" t="s">
        <v>19</v>
      </c>
      <c r="G14" s="3" t="s">
        <v>21</v>
      </c>
      <c r="H14" s="3" t="s">
        <v>15</v>
      </c>
      <c r="I14" s="3">
        <v>0</v>
      </c>
      <c r="J14" s="3" t="s">
        <v>16</v>
      </c>
      <c r="K14" s="3" t="s">
        <v>17</v>
      </c>
      <c r="L14" s="3">
        <v>55</v>
      </c>
      <c r="M14" s="3" t="str">
        <f t="shared" si="0"/>
        <v>Old</v>
      </c>
      <c r="N14" s="3" t="s">
        <v>18</v>
      </c>
    </row>
    <row r="15" spans="1:14" x14ac:dyDescent="0.35">
      <c r="A15" s="3">
        <v>25323</v>
      </c>
      <c r="B15" s="3" t="s">
        <v>36</v>
      </c>
      <c r="C15" s="3" t="s">
        <v>39</v>
      </c>
      <c r="D15" s="5">
        <v>40000</v>
      </c>
      <c r="E15" s="3">
        <v>2</v>
      </c>
      <c r="F15" s="3" t="s">
        <v>19</v>
      </c>
      <c r="G15" s="3" t="s">
        <v>20</v>
      </c>
      <c r="H15" s="3" t="s">
        <v>15</v>
      </c>
      <c r="I15" s="3">
        <v>1</v>
      </c>
      <c r="J15" s="3" t="s">
        <v>26</v>
      </c>
      <c r="K15" s="3" t="s">
        <v>17</v>
      </c>
      <c r="L15" s="3">
        <v>35</v>
      </c>
      <c r="M15" s="3" t="str">
        <f t="shared" si="0"/>
        <v>Middle Age</v>
      </c>
      <c r="N15" s="3" t="s">
        <v>15</v>
      </c>
    </row>
    <row r="16" spans="1:14" x14ac:dyDescent="0.35">
      <c r="A16" s="3">
        <v>23542</v>
      </c>
      <c r="B16" s="3" t="s">
        <v>37</v>
      </c>
      <c r="C16" s="3" t="s">
        <v>39</v>
      </c>
      <c r="D16" s="5">
        <v>60000</v>
      </c>
      <c r="E16" s="3">
        <v>1</v>
      </c>
      <c r="F16" s="3" t="s">
        <v>19</v>
      </c>
      <c r="G16" s="3" t="s">
        <v>14</v>
      </c>
      <c r="H16" s="3" t="s">
        <v>18</v>
      </c>
      <c r="I16" s="3">
        <v>1</v>
      </c>
      <c r="J16" s="3" t="s">
        <v>16</v>
      </c>
      <c r="K16" s="3" t="s">
        <v>24</v>
      </c>
      <c r="L16" s="3">
        <v>45</v>
      </c>
      <c r="M16" s="3" t="str">
        <f t="shared" si="0"/>
        <v>Middle Age</v>
      </c>
      <c r="N16" s="3" t="s">
        <v>15</v>
      </c>
    </row>
    <row r="17" spans="1:14" x14ac:dyDescent="0.35">
      <c r="A17" s="3">
        <v>20870</v>
      </c>
      <c r="B17" s="3" t="s">
        <v>37</v>
      </c>
      <c r="C17" s="3" t="s">
        <v>38</v>
      </c>
      <c r="D17" s="5">
        <v>10000</v>
      </c>
      <c r="E17" s="3">
        <v>2</v>
      </c>
      <c r="F17" s="3" t="s">
        <v>27</v>
      </c>
      <c r="G17" s="3" t="s">
        <v>25</v>
      </c>
      <c r="H17" s="3" t="s">
        <v>15</v>
      </c>
      <c r="I17" s="3">
        <v>1</v>
      </c>
      <c r="J17" s="3" t="s">
        <v>16</v>
      </c>
      <c r="K17" s="3" t="s">
        <v>17</v>
      </c>
      <c r="L17" s="3">
        <v>38</v>
      </c>
      <c r="M17" s="3" t="str">
        <f t="shared" si="0"/>
        <v>Middle Age</v>
      </c>
      <c r="N17" s="3" t="s">
        <v>15</v>
      </c>
    </row>
    <row r="18" spans="1:14" x14ac:dyDescent="0.35">
      <c r="A18" s="3">
        <v>23316</v>
      </c>
      <c r="B18" s="3" t="s">
        <v>37</v>
      </c>
      <c r="C18" s="3" t="s">
        <v>39</v>
      </c>
      <c r="D18" s="5">
        <v>30000</v>
      </c>
      <c r="E18" s="3">
        <v>3</v>
      </c>
      <c r="F18" s="3" t="s">
        <v>19</v>
      </c>
      <c r="G18" s="3" t="s">
        <v>20</v>
      </c>
      <c r="H18" s="3" t="s">
        <v>18</v>
      </c>
      <c r="I18" s="3">
        <v>2</v>
      </c>
      <c r="J18" s="3" t="s">
        <v>26</v>
      </c>
      <c r="K18" s="3" t="s">
        <v>24</v>
      </c>
      <c r="L18" s="3">
        <v>59</v>
      </c>
      <c r="M18" s="3" t="str">
        <f t="shared" si="0"/>
        <v>Old</v>
      </c>
      <c r="N18" s="3" t="s">
        <v>15</v>
      </c>
    </row>
    <row r="19" spans="1:14" x14ac:dyDescent="0.35">
      <c r="A19" s="3">
        <v>12610</v>
      </c>
      <c r="B19" s="3" t="s">
        <v>36</v>
      </c>
      <c r="C19" s="3" t="s">
        <v>38</v>
      </c>
      <c r="D19" s="5">
        <v>30000</v>
      </c>
      <c r="E19" s="3">
        <v>1</v>
      </c>
      <c r="F19" s="3" t="s">
        <v>13</v>
      </c>
      <c r="G19" s="3" t="s">
        <v>20</v>
      </c>
      <c r="H19" s="3" t="s">
        <v>15</v>
      </c>
      <c r="I19" s="3">
        <v>0</v>
      </c>
      <c r="J19" s="3" t="s">
        <v>16</v>
      </c>
      <c r="K19" s="3" t="s">
        <v>17</v>
      </c>
      <c r="L19" s="3">
        <v>47</v>
      </c>
      <c r="M19" s="3" t="str">
        <f t="shared" si="0"/>
        <v>Middle Age</v>
      </c>
      <c r="N19" s="3" t="s">
        <v>18</v>
      </c>
    </row>
    <row r="20" spans="1:14" x14ac:dyDescent="0.35">
      <c r="A20" s="3">
        <v>27183</v>
      </c>
      <c r="B20" s="3" t="s">
        <v>37</v>
      </c>
      <c r="C20" s="3" t="s">
        <v>39</v>
      </c>
      <c r="D20" s="5">
        <v>40000</v>
      </c>
      <c r="E20" s="3">
        <v>2</v>
      </c>
      <c r="F20" s="3" t="s">
        <v>19</v>
      </c>
      <c r="G20" s="3" t="s">
        <v>20</v>
      </c>
      <c r="H20" s="3" t="s">
        <v>15</v>
      </c>
      <c r="I20" s="3">
        <v>1</v>
      </c>
      <c r="J20" s="3" t="s">
        <v>26</v>
      </c>
      <c r="K20" s="3" t="s">
        <v>17</v>
      </c>
      <c r="L20" s="3">
        <v>35</v>
      </c>
      <c r="M20" s="3" t="str">
        <f t="shared" si="0"/>
        <v>Middle Age</v>
      </c>
      <c r="N20" s="3" t="s">
        <v>15</v>
      </c>
    </row>
    <row r="21" spans="1:14" x14ac:dyDescent="0.35">
      <c r="A21" s="3">
        <v>25940</v>
      </c>
      <c r="B21" s="3" t="s">
        <v>37</v>
      </c>
      <c r="C21" s="3" t="s">
        <v>39</v>
      </c>
      <c r="D21" s="5">
        <v>20000</v>
      </c>
      <c r="E21" s="3">
        <v>2</v>
      </c>
      <c r="F21" s="3" t="s">
        <v>29</v>
      </c>
      <c r="G21" s="3" t="s">
        <v>20</v>
      </c>
      <c r="H21" s="3" t="s">
        <v>15</v>
      </c>
      <c r="I21" s="3">
        <v>2</v>
      </c>
      <c r="J21" s="3" t="s">
        <v>23</v>
      </c>
      <c r="K21" s="3" t="s">
        <v>24</v>
      </c>
      <c r="L21" s="3">
        <v>55</v>
      </c>
      <c r="M21" s="3" t="str">
        <f t="shared" si="0"/>
        <v>Old</v>
      </c>
      <c r="N21" s="3" t="s">
        <v>15</v>
      </c>
    </row>
    <row r="22" spans="1:14" x14ac:dyDescent="0.35">
      <c r="A22" s="3">
        <v>25598</v>
      </c>
      <c r="B22" s="3" t="s">
        <v>36</v>
      </c>
      <c r="C22" s="3" t="s">
        <v>38</v>
      </c>
      <c r="D22" s="5">
        <v>40000</v>
      </c>
      <c r="E22" s="3">
        <v>0</v>
      </c>
      <c r="F22" s="3" t="s">
        <v>31</v>
      </c>
      <c r="G22" s="3" t="s">
        <v>20</v>
      </c>
      <c r="H22" s="3" t="s">
        <v>15</v>
      </c>
      <c r="I22" s="3">
        <v>0</v>
      </c>
      <c r="J22" s="3" t="s">
        <v>16</v>
      </c>
      <c r="K22" s="3" t="s">
        <v>17</v>
      </c>
      <c r="L22" s="3">
        <v>36</v>
      </c>
      <c r="M22" s="3" t="str">
        <f t="shared" si="0"/>
        <v>Middle Age</v>
      </c>
      <c r="N22" s="3" t="s">
        <v>15</v>
      </c>
    </row>
    <row r="23" spans="1:14" x14ac:dyDescent="0.35">
      <c r="A23" s="3">
        <v>21564</v>
      </c>
      <c r="B23" s="3" t="s">
        <v>37</v>
      </c>
      <c r="C23" s="3" t="s">
        <v>38</v>
      </c>
      <c r="D23" s="5">
        <v>80000</v>
      </c>
      <c r="E23" s="3">
        <v>0</v>
      </c>
      <c r="F23" s="3" t="s">
        <v>13</v>
      </c>
      <c r="G23" s="3" t="s">
        <v>21</v>
      </c>
      <c r="H23" s="3" t="s">
        <v>15</v>
      </c>
      <c r="I23" s="3">
        <v>4</v>
      </c>
      <c r="J23" s="3" t="s">
        <v>46</v>
      </c>
      <c r="K23" s="3" t="s">
        <v>24</v>
      </c>
      <c r="L23" s="3">
        <v>35</v>
      </c>
      <c r="M23" s="3" t="str">
        <f t="shared" si="0"/>
        <v>Middle Age</v>
      </c>
      <c r="N23" s="3" t="s">
        <v>18</v>
      </c>
    </row>
    <row r="24" spans="1:14" x14ac:dyDescent="0.35">
      <c r="A24" s="3">
        <v>19193</v>
      </c>
      <c r="B24" s="3" t="s">
        <v>37</v>
      </c>
      <c r="C24" s="3" t="s">
        <v>39</v>
      </c>
      <c r="D24" s="5">
        <v>40000</v>
      </c>
      <c r="E24" s="3">
        <v>2</v>
      </c>
      <c r="F24" s="3" t="s">
        <v>19</v>
      </c>
      <c r="G24" s="3" t="s">
        <v>20</v>
      </c>
      <c r="H24" s="3" t="s">
        <v>15</v>
      </c>
      <c r="I24" s="3">
        <v>0</v>
      </c>
      <c r="J24" s="3" t="s">
        <v>26</v>
      </c>
      <c r="K24" s="3" t="s">
        <v>17</v>
      </c>
      <c r="L24" s="3">
        <v>35</v>
      </c>
      <c r="M24" s="3" t="str">
        <f t="shared" si="0"/>
        <v>Middle Age</v>
      </c>
      <c r="N24" s="3" t="s">
        <v>15</v>
      </c>
    </row>
    <row r="25" spans="1:14" x14ac:dyDescent="0.35">
      <c r="A25" s="3">
        <v>26412</v>
      </c>
      <c r="B25" s="3" t="s">
        <v>36</v>
      </c>
      <c r="C25" s="3" t="s">
        <v>38</v>
      </c>
      <c r="D25" s="5">
        <v>80000</v>
      </c>
      <c r="E25" s="3">
        <v>5</v>
      </c>
      <c r="F25" s="3" t="s">
        <v>27</v>
      </c>
      <c r="G25" s="3" t="s">
        <v>28</v>
      </c>
      <c r="H25" s="3" t="s">
        <v>18</v>
      </c>
      <c r="I25" s="3">
        <v>3</v>
      </c>
      <c r="J25" s="3" t="s">
        <v>23</v>
      </c>
      <c r="K25" s="3" t="s">
        <v>17</v>
      </c>
      <c r="L25" s="3">
        <v>56</v>
      </c>
      <c r="M25" s="3" t="str">
        <f t="shared" si="0"/>
        <v>Old</v>
      </c>
      <c r="N25" s="3" t="s">
        <v>18</v>
      </c>
    </row>
    <row r="26" spans="1:14" x14ac:dyDescent="0.35">
      <c r="A26" s="3">
        <v>27184</v>
      </c>
      <c r="B26" s="3" t="s">
        <v>37</v>
      </c>
      <c r="C26" s="3" t="s">
        <v>39</v>
      </c>
      <c r="D26" s="5">
        <v>40000</v>
      </c>
      <c r="E26" s="3">
        <v>2</v>
      </c>
      <c r="F26" s="3" t="s">
        <v>19</v>
      </c>
      <c r="G26" s="3" t="s">
        <v>20</v>
      </c>
      <c r="H26" s="3" t="s">
        <v>18</v>
      </c>
      <c r="I26" s="3">
        <v>1</v>
      </c>
      <c r="J26" s="3" t="s">
        <v>16</v>
      </c>
      <c r="K26" s="3" t="s">
        <v>17</v>
      </c>
      <c r="L26" s="3">
        <v>34</v>
      </c>
      <c r="M26" s="3" t="str">
        <f t="shared" si="0"/>
        <v>Middle Age</v>
      </c>
      <c r="N26" s="3" t="s">
        <v>18</v>
      </c>
    </row>
    <row r="27" spans="1:14" x14ac:dyDescent="0.35">
      <c r="A27" s="3">
        <v>12590</v>
      </c>
      <c r="B27" s="3" t="s">
        <v>37</v>
      </c>
      <c r="C27" s="3" t="s">
        <v>39</v>
      </c>
      <c r="D27" s="5">
        <v>30000</v>
      </c>
      <c r="E27" s="3">
        <v>1</v>
      </c>
      <c r="F27" s="3" t="s">
        <v>13</v>
      </c>
      <c r="G27" s="3" t="s">
        <v>20</v>
      </c>
      <c r="H27" s="3" t="s">
        <v>15</v>
      </c>
      <c r="I27" s="3">
        <v>0</v>
      </c>
      <c r="J27" s="3" t="s">
        <v>16</v>
      </c>
      <c r="K27" s="3" t="s">
        <v>17</v>
      </c>
      <c r="L27" s="3">
        <v>63</v>
      </c>
      <c r="M27" s="3" t="str">
        <f t="shared" si="0"/>
        <v>Old</v>
      </c>
      <c r="N27" s="3" t="s">
        <v>18</v>
      </c>
    </row>
    <row r="28" spans="1:14" x14ac:dyDescent="0.35">
      <c r="A28" s="3">
        <v>17841</v>
      </c>
      <c r="B28" s="3" t="s">
        <v>37</v>
      </c>
      <c r="C28" s="3" t="s">
        <v>39</v>
      </c>
      <c r="D28" s="5">
        <v>30000</v>
      </c>
      <c r="E28" s="3">
        <v>0</v>
      </c>
      <c r="F28" s="3" t="s">
        <v>19</v>
      </c>
      <c r="G28" s="3" t="s">
        <v>20</v>
      </c>
      <c r="H28" s="3" t="s">
        <v>18</v>
      </c>
      <c r="I28" s="3">
        <v>1</v>
      </c>
      <c r="J28" s="3" t="s">
        <v>16</v>
      </c>
      <c r="K28" s="3" t="s">
        <v>17</v>
      </c>
      <c r="L28" s="3">
        <v>29</v>
      </c>
      <c r="M28" s="3" t="str">
        <f t="shared" si="0"/>
        <v>Adolescent</v>
      </c>
      <c r="N28" s="3" t="s">
        <v>15</v>
      </c>
    </row>
    <row r="29" spans="1:14" x14ac:dyDescent="0.35">
      <c r="A29" s="3">
        <v>18283</v>
      </c>
      <c r="B29" s="3" t="s">
        <v>37</v>
      </c>
      <c r="C29" s="3" t="s">
        <v>38</v>
      </c>
      <c r="D29" s="5">
        <v>100000</v>
      </c>
      <c r="E29" s="3">
        <v>0</v>
      </c>
      <c r="F29" s="3" t="s">
        <v>13</v>
      </c>
      <c r="G29" s="3" t="s">
        <v>21</v>
      </c>
      <c r="H29" s="3" t="s">
        <v>18</v>
      </c>
      <c r="I29" s="3">
        <v>1</v>
      </c>
      <c r="J29" s="3" t="s">
        <v>23</v>
      </c>
      <c r="K29" s="3" t="s">
        <v>24</v>
      </c>
      <c r="L29" s="3">
        <v>40</v>
      </c>
      <c r="M29" s="3" t="str">
        <f t="shared" si="0"/>
        <v>Middle Age</v>
      </c>
      <c r="N29" s="3" t="s">
        <v>18</v>
      </c>
    </row>
    <row r="30" spans="1:14" x14ac:dyDescent="0.35">
      <c r="A30" s="3">
        <v>18299</v>
      </c>
      <c r="B30" s="3" t="s">
        <v>36</v>
      </c>
      <c r="C30" s="3" t="s">
        <v>39</v>
      </c>
      <c r="D30" s="5">
        <v>70000</v>
      </c>
      <c r="E30" s="3">
        <v>5</v>
      </c>
      <c r="F30" s="3" t="s">
        <v>19</v>
      </c>
      <c r="G30" s="3" t="s">
        <v>14</v>
      </c>
      <c r="H30" s="3" t="s">
        <v>15</v>
      </c>
      <c r="I30" s="3">
        <v>2</v>
      </c>
      <c r="J30" s="3" t="s">
        <v>23</v>
      </c>
      <c r="K30" s="3" t="s">
        <v>24</v>
      </c>
      <c r="L30" s="3">
        <v>44</v>
      </c>
      <c r="M30" s="3" t="str">
        <f t="shared" si="0"/>
        <v>Middle Age</v>
      </c>
      <c r="N30" s="3" t="s">
        <v>18</v>
      </c>
    </row>
    <row r="31" spans="1:14" x14ac:dyDescent="0.35">
      <c r="A31" s="3">
        <v>16466</v>
      </c>
      <c r="B31" s="3" t="s">
        <v>37</v>
      </c>
      <c r="C31" s="3" t="s">
        <v>38</v>
      </c>
      <c r="D31" s="5">
        <v>20000</v>
      </c>
      <c r="E31" s="3">
        <v>0</v>
      </c>
      <c r="F31" s="3" t="s">
        <v>29</v>
      </c>
      <c r="G31" s="3" t="s">
        <v>25</v>
      </c>
      <c r="H31" s="3" t="s">
        <v>18</v>
      </c>
      <c r="I31" s="3">
        <v>2</v>
      </c>
      <c r="J31" s="3" t="s">
        <v>16</v>
      </c>
      <c r="K31" s="3" t="s">
        <v>17</v>
      </c>
      <c r="L31" s="3">
        <v>32</v>
      </c>
      <c r="M31" s="3" t="str">
        <f t="shared" si="0"/>
        <v>Middle Age</v>
      </c>
      <c r="N31" s="3" t="s">
        <v>15</v>
      </c>
    </row>
    <row r="32" spans="1:14" x14ac:dyDescent="0.35">
      <c r="A32" s="3">
        <v>19273</v>
      </c>
      <c r="B32" s="3" t="s">
        <v>36</v>
      </c>
      <c r="C32" s="3" t="s">
        <v>38</v>
      </c>
      <c r="D32" s="5">
        <v>20000</v>
      </c>
      <c r="E32" s="3">
        <v>2</v>
      </c>
      <c r="F32" s="3" t="s">
        <v>19</v>
      </c>
      <c r="G32" s="3" t="s">
        <v>25</v>
      </c>
      <c r="H32" s="3" t="s">
        <v>15</v>
      </c>
      <c r="I32" s="3">
        <v>0</v>
      </c>
      <c r="J32" s="3" t="s">
        <v>16</v>
      </c>
      <c r="K32" s="3" t="s">
        <v>17</v>
      </c>
      <c r="L32" s="3">
        <v>63</v>
      </c>
      <c r="M32" s="3" t="str">
        <f t="shared" si="0"/>
        <v>Old</v>
      </c>
      <c r="N32" s="3" t="s">
        <v>18</v>
      </c>
    </row>
    <row r="33" spans="1:14" x14ac:dyDescent="0.35">
      <c r="A33" s="3">
        <v>22400</v>
      </c>
      <c r="B33" s="3" t="s">
        <v>36</v>
      </c>
      <c r="C33" s="3" t="s">
        <v>39</v>
      </c>
      <c r="D33" s="5">
        <v>10000</v>
      </c>
      <c r="E33" s="3">
        <v>0</v>
      </c>
      <c r="F33" s="3" t="s">
        <v>19</v>
      </c>
      <c r="G33" s="3" t="s">
        <v>25</v>
      </c>
      <c r="H33" s="3" t="s">
        <v>18</v>
      </c>
      <c r="I33" s="3">
        <v>1</v>
      </c>
      <c r="J33" s="3" t="s">
        <v>16</v>
      </c>
      <c r="K33" s="3" t="s">
        <v>24</v>
      </c>
      <c r="L33" s="3">
        <v>26</v>
      </c>
      <c r="M33" s="3" t="str">
        <f t="shared" si="0"/>
        <v>Adolescent</v>
      </c>
      <c r="N33" s="3" t="s">
        <v>15</v>
      </c>
    </row>
    <row r="34" spans="1:14" x14ac:dyDescent="0.35">
      <c r="A34" s="3">
        <v>20942</v>
      </c>
      <c r="B34" s="3" t="s">
        <v>37</v>
      </c>
      <c r="C34" s="3" t="s">
        <v>38</v>
      </c>
      <c r="D34" s="5">
        <v>20000</v>
      </c>
      <c r="E34" s="3">
        <v>0</v>
      </c>
      <c r="F34" s="3" t="s">
        <v>27</v>
      </c>
      <c r="G34" s="3" t="s">
        <v>25</v>
      </c>
      <c r="H34" s="3" t="s">
        <v>18</v>
      </c>
      <c r="I34" s="3">
        <v>1</v>
      </c>
      <c r="J34" s="3" t="s">
        <v>23</v>
      </c>
      <c r="K34" s="3" t="s">
        <v>17</v>
      </c>
      <c r="L34" s="3">
        <v>31</v>
      </c>
      <c r="M34" s="3" t="str">
        <f t="shared" si="0"/>
        <v>Middle Age</v>
      </c>
      <c r="N34" s="3" t="s">
        <v>18</v>
      </c>
    </row>
    <row r="35" spans="1:14" x14ac:dyDescent="0.35">
      <c r="A35" s="3">
        <v>18484</v>
      </c>
      <c r="B35" s="3" t="s">
        <v>37</v>
      </c>
      <c r="C35" s="3" t="s">
        <v>39</v>
      </c>
      <c r="D35" s="5">
        <v>80000</v>
      </c>
      <c r="E35" s="3">
        <v>2</v>
      </c>
      <c r="F35" s="3" t="s">
        <v>27</v>
      </c>
      <c r="G35" s="3" t="s">
        <v>14</v>
      </c>
      <c r="H35" s="3" t="s">
        <v>18</v>
      </c>
      <c r="I35" s="3">
        <v>2</v>
      </c>
      <c r="J35" s="3" t="s">
        <v>26</v>
      </c>
      <c r="K35" s="3" t="s">
        <v>24</v>
      </c>
      <c r="L35" s="3">
        <v>50</v>
      </c>
      <c r="M35" s="3" t="str">
        <f t="shared" si="0"/>
        <v>Middle Age</v>
      </c>
      <c r="N35" s="3" t="s">
        <v>15</v>
      </c>
    </row>
    <row r="36" spans="1:14" x14ac:dyDescent="0.35">
      <c r="A36" s="3">
        <v>12291</v>
      </c>
      <c r="B36" s="3" t="s">
        <v>37</v>
      </c>
      <c r="C36" s="3" t="s">
        <v>39</v>
      </c>
      <c r="D36" s="5">
        <v>90000</v>
      </c>
      <c r="E36" s="3">
        <v>5</v>
      </c>
      <c r="F36" s="3" t="s">
        <v>19</v>
      </c>
      <c r="G36" s="3" t="s">
        <v>21</v>
      </c>
      <c r="H36" s="3" t="s">
        <v>18</v>
      </c>
      <c r="I36" s="3">
        <v>2</v>
      </c>
      <c r="J36" s="3" t="s">
        <v>22</v>
      </c>
      <c r="K36" s="3" t="s">
        <v>17</v>
      </c>
      <c r="L36" s="3">
        <v>62</v>
      </c>
      <c r="M36" s="3" t="str">
        <f t="shared" si="0"/>
        <v>Old</v>
      </c>
      <c r="N36" s="3" t="s">
        <v>15</v>
      </c>
    </row>
    <row r="37" spans="1:14" x14ac:dyDescent="0.35">
      <c r="A37" s="3">
        <v>28380</v>
      </c>
      <c r="B37" s="3" t="s">
        <v>37</v>
      </c>
      <c r="C37" s="3" t="s">
        <v>38</v>
      </c>
      <c r="D37" s="5">
        <v>10000</v>
      </c>
      <c r="E37" s="3">
        <v>5</v>
      </c>
      <c r="F37" s="3" t="s">
        <v>29</v>
      </c>
      <c r="G37" s="3" t="s">
        <v>25</v>
      </c>
      <c r="H37" s="3" t="s">
        <v>18</v>
      </c>
      <c r="I37" s="3">
        <v>2</v>
      </c>
      <c r="J37" s="3" t="s">
        <v>16</v>
      </c>
      <c r="K37" s="3" t="s">
        <v>17</v>
      </c>
      <c r="L37" s="3">
        <v>41</v>
      </c>
      <c r="M37" s="3" t="str">
        <f t="shared" si="0"/>
        <v>Middle Age</v>
      </c>
      <c r="N37" s="3" t="s">
        <v>18</v>
      </c>
    </row>
    <row r="38" spans="1:14" x14ac:dyDescent="0.35">
      <c r="A38" s="3">
        <v>17891</v>
      </c>
      <c r="B38" s="3" t="s">
        <v>36</v>
      </c>
      <c r="C38" s="3" t="s">
        <v>38</v>
      </c>
      <c r="D38" s="5">
        <v>10000</v>
      </c>
      <c r="E38" s="3">
        <v>2</v>
      </c>
      <c r="F38" s="3" t="s">
        <v>19</v>
      </c>
      <c r="G38" s="3" t="s">
        <v>25</v>
      </c>
      <c r="H38" s="3" t="s">
        <v>15</v>
      </c>
      <c r="I38" s="3">
        <v>1</v>
      </c>
      <c r="J38" s="3" t="s">
        <v>16</v>
      </c>
      <c r="K38" s="3" t="s">
        <v>17</v>
      </c>
      <c r="L38" s="3">
        <v>50</v>
      </c>
      <c r="M38" s="3" t="str">
        <f t="shared" si="0"/>
        <v>Middle Age</v>
      </c>
      <c r="N38" s="3" t="s">
        <v>15</v>
      </c>
    </row>
    <row r="39" spans="1:14" x14ac:dyDescent="0.35">
      <c r="A39" s="3">
        <v>27832</v>
      </c>
      <c r="B39" s="3" t="s">
        <v>37</v>
      </c>
      <c r="C39" s="3" t="s">
        <v>38</v>
      </c>
      <c r="D39" s="5">
        <v>30000</v>
      </c>
      <c r="E39" s="3">
        <v>0</v>
      </c>
      <c r="F39" s="3" t="s">
        <v>19</v>
      </c>
      <c r="G39" s="3" t="s">
        <v>20</v>
      </c>
      <c r="H39" s="3" t="s">
        <v>18</v>
      </c>
      <c r="I39" s="3">
        <v>1</v>
      </c>
      <c r="J39" s="3" t="s">
        <v>22</v>
      </c>
      <c r="K39" s="3" t="s">
        <v>17</v>
      </c>
      <c r="L39" s="3">
        <v>30</v>
      </c>
      <c r="M39" s="3" t="str">
        <f t="shared" si="0"/>
        <v>Adolescent</v>
      </c>
      <c r="N39" s="3" t="s">
        <v>18</v>
      </c>
    </row>
    <row r="40" spans="1:14" x14ac:dyDescent="0.35">
      <c r="A40" s="3">
        <v>26863</v>
      </c>
      <c r="B40" s="3" t="s">
        <v>37</v>
      </c>
      <c r="C40" s="3" t="s">
        <v>39</v>
      </c>
      <c r="D40" s="5">
        <v>20000</v>
      </c>
      <c r="E40" s="3">
        <v>0</v>
      </c>
      <c r="F40" s="3" t="s">
        <v>27</v>
      </c>
      <c r="G40" s="3" t="s">
        <v>25</v>
      </c>
      <c r="H40" s="3" t="s">
        <v>18</v>
      </c>
      <c r="I40" s="3">
        <v>1</v>
      </c>
      <c r="J40" s="3" t="s">
        <v>22</v>
      </c>
      <c r="K40" s="3" t="s">
        <v>17</v>
      </c>
      <c r="L40" s="3">
        <v>28</v>
      </c>
      <c r="M40" s="3" t="str">
        <f t="shared" si="0"/>
        <v>Adolescent</v>
      </c>
      <c r="N40" s="3" t="s">
        <v>18</v>
      </c>
    </row>
    <row r="41" spans="1:14" x14ac:dyDescent="0.35">
      <c r="A41" s="3">
        <v>16259</v>
      </c>
      <c r="B41" s="3" t="s">
        <v>37</v>
      </c>
      <c r="C41" s="3" t="s">
        <v>38</v>
      </c>
      <c r="D41" s="5">
        <v>10000</v>
      </c>
      <c r="E41" s="3">
        <v>4</v>
      </c>
      <c r="F41" s="3" t="s">
        <v>29</v>
      </c>
      <c r="G41" s="3" t="s">
        <v>25</v>
      </c>
      <c r="H41" s="3" t="s">
        <v>15</v>
      </c>
      <c r="I41" s="3">
        <v>2</v>
      </c>
      <c r="J41" s="3" t="s">
        <v>16</v>
      </c>
      <c r="K41" s="3" t="s">
        <v>17</v>
      </c>
      <c r="L41" s="3">
        <v>40</v>
      </c>
      <c r="M41" s="3" t="str">
        <f t="shared" si="0"/>
        <v>Middle Age</v>
      </c>
      <c r="N41" s="3" t="s">
        <v>15</v>
      </c>
    </row>
    <row r="42" spans="1:14" x14ac:dyDescent="0.35">
      <c r="A42" s="3">
        <v>27803</v>
      </c>
      <c r="B42" s="3" t="s">
        <v>37</v>
      </c>
      <c r="C42" s="3" t="s">
        <v>38</v>
      </c>
      <c r="D42" s="5">
        <v>30000</v>
      </c>
      <c r="E42" s="3">
        <v>2</v>
      </c>
      <c r="F42" s="3" t="s">
        <v>19</v>
      </c>
      <c r="G42" s="3" t="s">
        <v>20</v>
      </c>
      <c r="H42" s="3" t="s">
        <v>18</v>
      </c>
      <c r="I42" s="3">
        <v>0</v>
      </c>
      <c r="J42" s="3" t="s">
        <v>16</v>
      </c>
      <c r="K42" s="3" t="s">
        <v>17</v>
      </c>
      <c r="L42" s="3">
        <v>43</v>
      </c>
      <c r="M42" s="3" t="str">
        <f t="shared" si="0"/>
        <v>Middle Age</v>
      </c>
      <c r="N42" s="3" t="s">
        <v>18</v>
      </c>
    </row>
    <row r="43" spans="1:14" x14ac:dyDescent="0.35">
      <c r="A43" s="3">
        <v>14347</v>
      </c>
      <c r="B43" s="3" t="s">
        <v>37</v>
      </c>
      <c r="C43" s="3" t="s">
        <v>38</v>
      </c>
      <c r="D43" s="5">
        <v>40000</v>
      </c>
      <c r="E43" s="3">
        <v>2</v>
      </c>
      <c r="F43" s="3" t="s">
        <v>13</v>
      </c>
      <c r="G43" s="3" t="s">
        <v>28</v>
      </c>
      <c r="H43" s="3" t="s">
        <v>15</v>
      </c>
      <c r="I43" s="3">
        <v>2</v>
      </c>
      <c r="J43" s="3" t="s">
        <v>23</v>
      </c>
      <c r="K43" s="3" t="s">
        <v>24</v>
      </c>
      <c r="L43" s="3">
        <v>65</v>
      </c>
      <c r="M43" s="3" t="str">
        <f t="shared" si="0"/>
        <v>Old</v>
      </c>
      <c r="N43" s="3" t="s">
        <v>15</v>
      </c>
    </row>
    <row r="44" spans="1:14" x14ac:dyDescent="0.35">
      <c r="A44" s="3">
        <v>17703</v>
      </c>
      <c r="B44" s="3" t="s">
        <v>36</v>
      </c>
      <c r="C44" s="3" t="s">
        <v>38</v>
      </c>
      <c r="D44" s="5">
        <v>10000</v>
      </c>
      <c r="E44" s="3">
        <v>1</v>
      </c>
      <c r="F44" s="3" t="s">
        <v>31</v>
      </c>
      <c r="G44" s="3" t="s">
        <v>25</v>
      </c>
      <c r="H44" s="3" t="s">
        <v>15</v>
      </c>
      <c r="I44" s="3">
        <v>0</v>
      </c>
      <c r="J44" s="3" t="s">
        <v>16</v>
      </c>
      <c r="K44" s="3" t="s">
        <v>17</v>
      </c>
      <c r="L44" s="3">
        <v>40</v>
      </c>
      <c r="M44" s="3" t="str">
        <f t="shared" si="0"/>
        <v>Middle Age</v>
      </c>
      <c r="N44" s="3" t="s">
        <v>18</v>
      </c>
    </row>
    <row r="45" spans="1:14" x14ac:dyDescent="0.35">
      <c r="A45" s="3">
        <v>17185</v>
      </c>
      <c r="B45" s="3" t="s">
        <v>36</v>
      </c>
      <c r="C45" s="3" t="s">
        <v>38</v>
      </c>
      <c r="D45" s="5">
        <v>170000</v>
      </c>
      <c r="E45" s="3">
        <v>4</v>
      </c>
      <c r="F45" s="3" t="s">
        <v>19</v>
      </c>
      <c r="G45" s="3" t="s">
        <v>21</v>
      </c>
      <c r="H45" s="3" t="s">
        <v>18</v>
      </c>
      <c r="I45" s="3">
        <v>3</v>
      </c>
      <c r="J45" s="3" t="s">
        <v>23</v>
      </c>
      <c r="K45" s="3" t="s">
        <v>17</v>
      </c>
      <c r="L45" s="3">
        <v>48</v>
      </c>
      <c r="M45" s="3" t="str">
        <f t="shared" si="0"/>
        <v>Middle Age</v>
      </c>
      <c r="N45" s="3" t="s">
        <v>15</v>
      </c>
    </row>
    <row r="46" spans="1:14" x14ac:dyDescent="0.35">
      <c r="A46" s="3">
        <v>29380</v>
      </c>
      <c r="B46" s="3" t="s">
        <v>36</v>
      </c>
      <c r="C46" s="3" t="s">
        <v>38</v>
      </c>
      <c r="D46" s="5">
        <v>20000</v>
      </c>
      <c r="E46" s="3">
        <v>3</v>
      </c>
      <c r="F46" s="3" t="s">
        <v>27</v>
      </c>
      <c r="G46" s="3" t="s">
        <v>25</v>
      </c>
      <c r="H46" s="3" t="s">
        <v>15</v>
      </c>
      <c r="I46" s="3">
        <v>0</v>
      </c>
      <c r="J46" s="3" t="s">
        <v>16</v>
      </c>
      <c r="K46" s="3" t="s">
        <v>17</v>
      </c>
      <c r="L46" s="3">
        <v>41</v>
      </c>
      <c r="M46" s="3" t="str">
        <f t="shared" si="0"/>
        <v>Middle Age</v>
      </c>
      <c r="N46" s="3" t="s">
        <v>15</v>
      </c>
    </row>
    <row r="47" spans="1:14" x14ac:dyDescent="0.35">
      <c r="A47" s="3">
        <v>23986</v>
      </c>
      <c r="B47" s="3" t="s">
        <v>36</v>
      </c>
      <c r="C47" s="3" t="s">
        <v>38</v>
      </c>
      <c r="D47" s="5">
        <v>20000</v>
      </c>
      <c r="E47" s="3">
        <v>1</v>
      </c>
      <c r="F47" s="3" t="s">
        <v>13</v>
      </c>
      <c r="G47" s="3" t="s">
        <v>20</v>
      </c>
      <c r="H47" s="3" t="s">
        <v>15</v>
      </c>
      <c r="I47" s="3">
        <v>0</v>
      </c>
      <c r="J47" s="3" t="s">
        <v>16</v>
      </c>
      <c r="K47" s="3" t="s">
        <v>17</v>
      </c>
      <c r="L47" s="3">
        <v>66</v>
      </c>
      <c r="M47" s="3" t="str">
        <f t="shared" si="0"/>
        <v>Old</v>
      </c>
      <c r="N47" s="3" t="s">
        <v>15</v>
      </c>
    </row>
    <row r="48" spans="1:14" x14ac:dyDescent="0.35">
      <c r="A48" s="3">
        <v>24466</v>
      </c>
      <c r="B48" s="3" t="s">
        <v>36</v>
      </c>
      <c r="C48" s="3" t="s">
        <v>38</v>
      </c>
      <c r="D48" s="5">
        <v>60000</v>
      </c>
      <c r="E48" s="3">
        <v>1</v>
      </c>
      <c r="F48" s="3" t="s">
        <v>19</v>
      </c>
      <c r="G48" s="3" t="s">
        <v>14</v>
      </c>
      <c r="H48" s="3" t="s">
        <v>15</v>
      </c>
      <c r="I48" s="3">
        <v>1</v>
      </c>
      <c r="J48" s="3" t="s">
        <v>23</v>
      </c>
      <c r="K48" s="3" t="s">
        <v>24</v>
      </c>
      <c r="L48" s="3">
        <v>46</v>
      </c>
      <c r="M48" s="3" t="str">
        <f t="shared" si="0"/>
        <v>Middle Age</v>
      </c>
      <c r="N48" s="3" t="s">
        <v>15</v>
      </c>
    </row>
    <row r="49" spans="1:14" x14ac:dyDescent="0.35">
      <c r="A49" s="3">
        <v>29097</v>
      </c>
      <c r="B49" s="3" t="s">
        <v>37</v>
      </c>
      <c r="C49" s="3" t="s">
        <v>38</v>
      </c>
      <c r="D49" s="5">
        <v>40000</v>
      </c>
      <c r="E49" s="3">
        <v>2</v>
      </c>
      <c r="F49" s="3" t="s">
        <v>19</v>
      </c>
      <c r="G49" s="3" t="s">
        <v>14</v>
      </c>
      <c r="H49" s="3" t="s">
        <v>15</v>
      </c>
      <c r="I49" s="3">
        <v>2</v>
      </c>
      <c r="J49" s="3" t="s">
        <v>23</v>
      </c>
      <c r="K49" s="3" t="s">
        <v>24</v>
      </c>
      <c r="L49" s="3">
        <v>52</v>
      </c>
      <c r="M49" s="3" t="str">
        <f t="shared" si="0"/>
        <v>Middle Age</v>
      </c>
      <c r="N49" s="3" t="s">
        <v>15</v>
      </c>
    </row>
    <row r="50" spans="1:14" x14ac:dyDescent="0.35">
      <c r="A50" s="3">
        <v>19487</v>
      </c>
      <c r="B50" s="3" t="s">
        <v>36</v>
      </c>
      <c r="C50" s="3" t="s">
        <v>39</v>
      </c>
      <c r="D50" s="5">
        <v>30000</v>
      </c>
      <c r="E50" s="3">
        <v>2</v>
      </c>
      <c r="F50" s="3" t="s">
        <v>19</v>
      </c>
      <c r="G50" s="3" t="s">
        <v>20</v>
      </c>
      <c r="H50" s="3" t="s">
        <v>18</v>
      </c>
      <c r="I50" s="3">
        <v>2</v>
      </c>
      <c r="J50" s="3" t="s">
        <v>16</v>
      </c>
      <c r="K50" s="3" t="s">
        <v>17</v>
      </c>
      <c r="L50" s="3">
        <v>42</v>
      </c>
      <c r="M50" s="3" t="str">
        <f t="shared" si="0"/>
        <v>Middle Age</v>
      </c>
      <c r="N50" s="3" t="s">
        <v>18</v>
      </c>
    </row>
    <row r="51" spans="1:14" x14ac:dyDescent="0.35">
      <c r="A51" s="3">
        <v>14939</v>
      </c>
      <c r="B51" s="3" t="s">
        <v>37</v>
      </c>
      <c r="C51" s="3" t="s">
        <v>39</v>
      </c>
      <c r="D51" s="5">
        <v>40000</v>
      </c>
      <c r="E51" s="3">
        <v>0</v>
      </c>
      <c r="F51" s="3" t="s">
        <v>13</v>
      </c>
      <c r="G51" s="3" t="s">
        <v>20</v>
      </c>
      <c r="H51" s="3" t="s">
        <v>15</v>
      </c>
      <c r="I51" s="3">
        <v>0</v>
      </c>
      <c r="J51" s="3" t="s">
        <v>16</v>
      </c>
      <c r="K51" s="3" t="s">
        <v>17</v>
      </c>
      <c r="L51" s="3">
        <v>39</v>
      </c>
      <c r="M51" s="3" t="str">
        <f t="shared" si="0"/>
        <v>Middle Age</v>
      </c>
      <c r="N51" s="3" t="s">
        <v>15</v>
      </c>
    </row>
    <row r="52" spans="1:14" x14ac:dyDescent="0.35">
      <c r="A52" s="3">
        <v>13826</v>
      </c>
      <c r="B52" s="3" t="s">
        <v>37</v>
      </c>
      <c r="C52" s="3" t="s">
        <v>38</v>
      </c>
      <c r="D52" s="5">
        <v>30000</v>
      </c>
      <c r="E52" s="3">
        <v>0</v>
      </c>
      <c r="F52" s="3" t="s">
        <v>19</v>
      </c>
      <c r="G52" s="3" t="s">
        <v>20</v>
      </c>
      <c r="H52" s="3" t="s">
        <v>18</v>
      </c>
      <c r="I52" s="3">
        <v>1</v>
      </c>
      <c r="J52" s="3" t="s">
        <v>16</v>
      </c>
      <c r="K52" s="3" t="s">
        <v>17</v>
      </c>
      <c r="L52" s="3">
        <v>28</v>
      </c>
      <c r="M52" s="3" t="str">
        <f t="shared" si="0"/>
        <v>Adolescent</v>
      </c>
      <c r="N52" s="3" t="s">
        <v>18</v>
      </c>
    </row>
    <row r="53" spans="1:14" x14ac:dyDescent="0.35">
      <c r="A53" s="3">
        <v>20619</v>
      </c>
      <c r="B53" s="3" t="s">
        <v>37</v>
      </c>
      <c r="C53" s="3" t="s">
        <v>39</v>
      </c>
      <c r="D53" s="5">
        <v>80000</v>
      </c>
      <c r="E53" s="3">
        <v>0</v>
      </c>
      <c r="F53" s="3" t="s">
        <v>13</v>
      </c>
      <c r="G53" s="3" t="s">
        <v>21</v>
      </c>
      <c r="H53" s="3" t="s">
        <v>18</v>
      </c>
      <c r="I53" s="3">
        <v>4</v>
      </c>
      <c r="J53" s="3" t="s">
        <v>46</v>
      </c>
      <c r="K53" s="3" t="s">
        <v>24</v>
      </c>
      <c r="L53" s="3">
        <v>35</v>
      </c>
      <c r="M53" s="3" t="str">
        <f t="shared" si="0"/>
        <v>Middle Age</v>
      </c>
      <c r="N53" s="3" t="s">
        <v>18</v>
      </c>
    </row>
    <row r="54" spans="1:14" x14ac:dyDescent="0.35">
      <c r="A54" s="3">
        <v>12558</v>
      </c>
      <c r="B54" s="3" t="s">
        <v>36</v>
      </c>
      <c r="C54" s="3" t="s">
        <v>38</v>
      </c>
      <c r="D54" s="5">
        <v>20000</v>
      </c>
      <c r="E54" s="3">
        <v>1</v>
      </c>
      <c r="F54" s="3" t="s">
        <v>13</v>
      </c>
      <c r="G54" s="3" t="s">
        <v>20</v>
      </c>
      <c r="H54" s="3" t="s">
        <v>15</v>
      </c>
      <c r="I54" s="3">
        <v>0</v>
      </c>
      <c r="J54" s="3" t="s">
        <v>16</v>
      </c>
      <c r="K54" s="3" t="s">
        <v>17</v>
      </c>
      <c r="L54" s="3">
        <v>65</v>
      </c>
      <c r="M54" s="3" t="str">
        <f t="shared" si="0"/>
        <v>Old</v>
      </c>
      <c r="N54" s="3" t="s">
        <v>18</v>
      </c>
    </row>
    <row r="55" spans="1:14" x14ac:dyDescent="0.35">
      <c r="A55" s="3">
        <v>24871</v>
      </c>
      <c r="B55" s="3" t="s">
        <v>37</v>
      </c>
      <c r="C55" s="3" t="s">
        <v>38</v>
      </c>
      <c r="D55" s="5">
        <v>90000</v>
      </c>
      <c r="E55" s="3">
        <v>4</v>
      </c>
      <c r="F55" s="3" t="s">
        <v>27</v>
      </c>
      <c r="G55" s="3" t="s">
        <v>28</v>
      </c>
      <c r="H55" s="3" t="s">
        <v>18</v>
      </c>
      <c r="I55" s="3">
        <v>3</v>
      </c>
      <c r="J55" s="3" t="s">
        <v>23</v>
      </c>
      <c r="K55" s="3" t="s">
        <v>17</v>
      </c>
      <c r="L55" s="3">
        <v>56</v>
      </c>
      <c r="M55" s="3" t="str">
        <f t="shared" si="0"/>
        <v>Old</v>
      </c>
      <c r="N55" s="3" t="s">
        <v>18</v>
      </c>
    </row>
    <row r="56" spans="1:14" x14ac:dyDescent="0.35">
      <c r="A56" s="3">
        <v>17319</v>
      </c>
      <c r="B56" s="3" t="s">
        <v>37</v>
      </c>
      <c r="C56" s="3" t="s">
        <v>38</v>
      </c>
      <c r="D56" s="5">
        <v>70000</v>
      </c>
      <c r="E56" s="3">
        <v>0</v>
      </c>
      <c r="F56" s="3" t="s">
        <v>13</v>
      </c>
      <c r="G56" s="3" t="s">
        <v>21</v>
      </c>
      <c r="H56" s="3" t="s">
        <v>18</v>
      </c>
      <c r="I56" s="3">
        <v>1</v>
      </c>
      <c r="J56" s="3" t="s">
        <v>23</v>
      </c>
      <c r="K56" s="3" t="s">
        <v>24</v>
      </c>
      <c r="L56" s="3">
        <v>42</v>
      </c>
      <c r="M56" s="3" t="str">
        <f t="shared" si="0"/>
        <v>Middle Age</v>
      </c>
      <c r="N56" s="3" t="s">
        <v>18</v>
      </c>
    </row>
    <row r="57" spans="1:14" x14ac:dyDescent="0.35">
      <c r="A57" s="3">
        <v>28906</v>
      </c>
      <c r="B57" s="3" t="s">
        <v>36</v>
      </c>
      <c r="C57" s="3" t="s">
        <v>39</v>
      </c>
      <c r="D57" s="5">
        <v>80000</v>
      </c>
      <c r="E57" s="3">
        <v>4</v>
      </c>
      <c r="F57" s="3" t="s">
        <v>27</v>
      </c>
      <c r="G57" s="3" t="s">
        <v>21</v>
      </c>
      <c r="H57" s="3" t="s">
        <v>15</v>
      </c>
      <c r="I57" s="3">
        <v>2</v>
      </c>
      <c r="J57" s="3" t="s">
        <v>46</v>
      </c>
      <c r="K57" s="3" t="s">
        <v>17</v>
      </c>
      <c r="L57" s="3">
        <v>54</v>
      </c>
      <c r="M57" s="3" t="str">
        <f t="shared" si="0"/>
        <v>Middle Age</v>
      </c>
      <c r="N57" s="3" t="s">
        <v>18</v>
      </c>
    </row>
    <row r="58" spans="1:14" x14ac:dyDescent="0.35">
      <c r="A58" s="3">
        <v>12808</v>
      </c>
      <c r="B58" s="3" t="s">
        <v>36</v>
      </c>
      <c r="C58" s="3" t="s">
        <v>39</v>
      </c>
      <c r="D58" s="5">
        <v>40000</v>
      </c>
      <c r="E58" s="3">
        <v>0</v>
      </c>
      <c r="F58" s="3" t="s">
        <v>13</v>
      </c>
      <c r="G58" s="3" t="s">
        <v>20</v>
      </c>
      <c r="H58" s="3" t="s">
        <v>15</v>
      </c>
      <c r="I58" s="3">
        <v>0</v>
      </c>
      <c r="J58" s="3" t="s">
        <v>16</v>
      </c>
      <c r="K58" s="3" t="s">
        <v>17</v>
      </c>
      <c r="L58" s="3">
        <v>38</v>
      </c>
      <c r="M58" s="3" t="str">
        <f t="shared" si="0"/>
        <v>Middle Age</v>
      </c>
      <c r="N58" s="3" t="s">
        <v>15</v>
      </c>
    </row>
    <row r="59" spans="1:14" x14ac:dyDescent="0.35">
      <c r="A59" s="3">
        <v>20567</v>
      </c>
      <c r="B59" s="3" t="s">
        <v>36</v>
      </c>
      <c r="C59" s="3" t="s">
        <v>39</v>
      </c>
      <c r="D59" s="5">
        <v>130000</v>
      </c>
      <c r="E59" s="3">
        <v>4</v>
      </c>
      <c r="F59" s="3" t="s">
        <v>19</v>
      </c>
      <c r="G59" s="3" t="s">
        <v>21</v>
      </c>
      <c r="H59" s="3" t="s">
        <v>18</v>
      </c>
      <c r="I59" s="3">
        <v>4</v>
      </c>
      <c r="J59" s="3" t="s">
        <v>23</v>
      </c>
      <c r="K59" s="3" t="s">
        <v>17</v>
      </c>
      <c r="L59" s="3">
        <v>61</v>
      </c>
      <c r="M59" s="3" t="str">
        <f t="shared" si="0"/>
        <v>Old</v>
      </c>
      <c r="N59" s="3" t="s">
        <v>15</v>
      </c>
    </row>
    <row r="60" spans="1:14" x14ac:dyDescent="0.35">
      <c r="A60" s="3">
        <v>25502</v>
      </c>
      <c r="B60" s="3" t="s">
        <v>36</v>
      </c>
      <c r="C60" s="3" t="s">
        <v>38</v>
      </c>
      <c r="D60" s="5">
        <v>40000</v>
      </c>
      <c r="E60" s="3">
        <v>1</v>
      </c>
      <c r="F60" s="3" t="s">
        <v>13</v>
      </c>
      <c r="G60" s="3" t="s">
        <v>14</v>
      </c>
      <c r="H60" s="3" t="s">
        <v>15</v>
      </c>
      <c r="I60" s="3">
        <v>0</v>
      </c>
      <c r="J60" s="3" t="s">
        <v>16</v>
      </c>
      <c r="K60" s="3" t="s">
        <v>17</v>
      </c>
      <c r="L60" s="3">
        <v>43</v>
      </c>
      <c r="M60" s="3" t="str">
        <f t="shared" si="0"/>
        <v>Middle Age</v>
      </c>
      <c r="N60" s="3" t="s">
        <v>15</v>
      </c>
    </row>
    <row r="61" spans="1:14" x14ac:dyDescent="0.35">
      <c r="A61" s="3">
        <v>15580</v>
      </c>
      <c r="B61" s="3" t="s">
        <v>36</v>
      </c>
      <c r="C61" s="3" t="s">
        <v>39</v>
      </c>
      <c r="D61" s="5">
        <v>60000</v>
      </c>
      <c r="E61" s="3">
        <v>2</v>
      </c>
      <c r="F61" s="3" t="s">
        <v>13</v>
      </c>
      <c r="G61" s="3" t="s">
        <v>21</v>
      </c>
      <c r="H61" s="3" t="s">
        <v>15</v>
      </c>
      <c r="I61" s="3">
        <v>1</v>
      </c>
      <c r="J61" s="3" t="s">
        <v>22</v>
      </c>
      <c r="K61" s="3" t="s">
        <v>24</v>
      </c>
      <c r="L61" s="3">
        <v>38</v>
      </c>
      <c r="M61" s="3" t="str">
        <f t="shared" si="0"/>
        <v>Middle Age</v>
      </c>
      <c r="N61" s="3" t="s">
        <v>15</v>
      </c>
    </row>
    <row r="62" spans="1:14" x14ac:dyDescent="0.35">
      <c r="A62" s="3">
        <v>24185</v>
      </c>
      <c r="B62" s="3" t="s">
        <v>37</v>
      </c>
      <c r="C62" s="3" t="s">
        <v>38</v>
      </c>
      <c r="D62" s="5">
        <v>10000</v>
      </c>
      <c r="E62" s="3">
        <v>1</v>
      </c>
      <c r="F62" s="3" t="s">
        <v>27</v>
      </c>
      <c r="G62" s="3" t="s">
        <v>25</v>
      </c>
      <c r="H62" s="3" t="s">
        <v>18</v>
      </c>
      <c r="I62" s="3">
        <v>1</v>
      </c>
      <c r="J62" s="3" t="s">
        <v>26</v>
      </c>
      <c r="K62" s="3" t="s">
        <v>17</v>
      </c>
      <c r="L62" s="3">
        <v>45</v>
      </c>
      <c r="M62" s="3" t="str">
        <f t="shared" si="0"/>
        <v>Middle Age</v>
      </c>
      <c r="N62" s="3" t="s">
        <v>18</v>
      </c>
    </row>
    <row r="63" spans="1:14" x14ac:dyDescent="0.35">
      <c r="A63" s="3">
        <v>19291</v>
      </c>
      <c r="B63" s="3" t="s">
        <v>37</v>
      </c>
      <c r="C63" s="3" t="s">
        <v>38</v>
      </c>
      <c r="D63" s="5">
        <v>10000</v>
      </c>
      <c r="E63" s="3">
        <v>2</v>
      </c>
      <c r="F63" s="3" t="s">
        <v>27</v>
      </c>
      <c r="G63" s="3" t="s">
        <v>25</v>
      </c>
      <c r="H63" s="3" t="s">
        <v>15</v>
      </c>
      <c r="I63" s="3">
        <v>0</v>
      </c>
      <c r="J63" s="3" t="s">
        <v>16</v>
      </c>
      <c r="K63" s="3" t="s">
        <v>17</v>
      </c>
      <c r="L63" s="3">
        <v>35</v>
      </c>
      <c r="M63" s="3" t="str">
        <f t="shared" si="0"/>
        <v>Middle Age</v>
      </c>
      <c r="N63" s="3" t="s">
        <v>18</v>
      </c>
    </row>
    <row r="64" spans="1:14" x14ac:dyDescent="0.35">
      <c r="A64" s="3">
        <v>16713</v>
      </c>
      <c r="B64" s="3" t="s">
        <v>36</v>
      </c>
      <c r="C64" s="3" t="s">
        <v>39</v>
      </c>
      <c r="D64" s="5">
        <v>40000</v>
      </c>
      <c r="E64" s="3">
        <v>2</v>
      </c>
      <c r="F64" s="3" t="s">
        <v>13</v>
      </c>
      <c r="G64" s="3" t="s">
        <v>28</v>
      </c>
      <c r="H64" s="3" t="s">
        <v>15</v>
      </c>
      <c r="I64" s="3">
        <v>1</v>
      </c>
      <c r="J64" s="3" t="s">
        <v>16</v>
      </c>
      <c r="K64" s="3" t="s">
        <v>24</v>
      </c>
      <c r="L64" s="3">
        <v>52</v>
      </c>
      <c r="M64" s="3" t="str">
        <f t="shared" si="0"/>
        <v>Middle Age</v>
      </c>
      <c r="N64" s="3" t="s">
        <v>15</v>
      </c>
    </row>
    <row r="65" spans="1:14" x14ac:dyDescent="0.35">
      <c r="A65" s="3">
        <v>16185</v>
      </c>
      <c r="B65" s="3" t="s">
        <v>37</v>
      </c>
      <c r="C65" s="3" t="s">
        <v>39</v>
      </c>
      <c r="D65" s="5">
        <v>60000</v>
      </c>
      <c r="E65" s="3">
        <v>4</v>
      </c>
      <c r="F65" s="3" t="s">
        <v>13</v>
      </c>
      <c r="G65" s="3" t="s">
        <v>21</v>
      </c>
      <c r="H65" s="3" t="s">
        <v>15</v>
      </c>
      <c r="I65" s="3">
        <v>3</v>
      </c>
      <c r="J65" s="3" t="s">
        <v>46</v>
      </c>
      <c r="K65" s="3" t="s">
        <v>24</v>
      </c>
      <c r="L65" s="3">
        <v>41</v>
      </c>
      <c r="M65" s="3" t="str">
        <f t="shared" si="0"/>
        <v>Middle Age</v>
      </c>
      <c r="N65" s="3" t="s">
        <v>18</v>
      </c>
    </row>
    <row r="66" spans="1:14" x14ac:dyDescent="0.35">
      <c r="A66" s="3">
        <v>14927</v>
      </c>
      <c r="B66" s="3" t="s">
        <v>36</v>
      </c>
      <c r="C66" s="3" t="s">
        <v>38</v>
      </c>
      <c r="D66" s="5">
        <v>30000</v>
      </c>
      <c r="E66" s="3">
        <v>1</v>
      </c>
      <c r="F66" s="3" t="s">
        <v>13</v>
      </c>
      <c r="G66" s="3" t="s">
        <v>20</v>
      </c>
      <c r="H66" s="3" t="s">
        <v>15</v>
      </c>
      <c r="I66" s="3">
        <v>0</v>
      </c>
      <c r="J66" s="3" t="s">
        <v>16</v>
      </c>
      <c r="K66" s="3" t="s">
        <v>17</v>
      </c>
      <c r="L66" s="3">
        <v>37</v>
      </c>
      <c r="M66" s="3" t="str">
        <f t="shared" si="0"/>
        <v>Middle Age</v>
      </c>
      <c r="N66" s="3" t="s">
        <v>15</v>
      </c>
    </row>
    <row r="67" spans="1:14" x14ac:dyDescent="0.35">
      <c r="A67" s="3">
        <v>29337</v>
      </c>
      <c r="B67" s="3" t="s">
        <v>37</v>
      </c>
      <c r="C67" s="3" t="s">
        <v>39</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35">
      <c r="A68" s="3">
        <v>29355</v>
      </c>
      <c r="B68" s="3" t="s">
        <v>36</v>
      </c>
      <c r="C68" s="3" t="s">
        <v>38</v>
      </c>
      <c r="D68" s="5">
        <v>40000</v>
      </c>
      <c r="E68" s="3">
        <v>0</v>
      </c>
      <c r="F68" s="3" t="s">
        <v>31</v>
      </c>
      <c r="G68" s="3" t="s">
        <v>20</v>
      </c>
      <c r="H68" s="3" t="s">
        <v>15</v>
      </c>
      <c r="I68" s="3">
        <v>0</v>
      </c>
      <c r="J68" s="3" t="s">
        <v>16</v>
      </c>
      <c r="K68" s="3" t="s">
        <v>17</v>
      </c>
      <c r="L68" s="3">
        <v>37</v>
      </c>
      <c r="M68" s="3" t="str">
        <f t="shared" si="1"/>
        <v>Middle Age</v>
      </c>
      <c r="N68" s="3" t="s">
        <v>15</v>
      </c>
    </row>
    <row r="69" spans="1:14" x14ac:dyDescent="0.35">
      <c r="A69" s="3">
        <v>25303</v>
      </c>
      <c r="B69" s="3" t="s">
        <v>37</v>
      </c>
      <c r="C69" s="3" t="s">
        <v>39</v>
      </c>
      <c r="D69" s="5">
        <v>30000</v>
      </c>
      <c r="E69" s="3">
        <v>0</v>
      </c>
      <c r="F69" s="3" t="s">
        <v>27</v>
      </c>
      <c r="G69" s="3" t="s">
        <v>25</v>
      </c>
      <c r="H69" s="3" t="s">
        <v>15</v>
      </c>
      <c r="I69" s="3">
        <v>1</v>
      </c>
      <c r="J69" s="3" t="s">
        <v>22</v>
      </c>
      <c r="K69" s="3" t="s">
        <v>17</v>
      </c>
      <c r="L69" s="3">
        <v>33</v>
      </c>
      <c r="M69" s="3" t="str">
        <f t="shared" si="1"/>
        <v>Middle Age</v>
      </c>
      <c r="N69" s="3" t="s">
        <v>15</v>
      </c>
    </row>
    <row r="70" spans="1:14" x14ac:dyDescent="0.35">
      <c r="A70" s="3">
        <v>14813</v>
      </c>
      <c r="B70" s="3" t="s">
        <v>37</v>
      </c>
      <c r="C70" s="3" t="s">
        <v>38</v>
      </c>
      <c r="D70" s="5">
        <v>20000</v>
      </c>
      <c r="E70" s="3">
        <v>4</v>
      </c>
      <c r="F70" s="3" t="s">
        <v>27</v>
      </c>
      <c r="G70" s="3" t="s">
        <v>25</v>
      </c>
      <c r="H70" s="3" t="s">
        <v>15</v>
      </c>
      <c r="I70" s="3">
        <v>1</v>
      </c>
      <c r="J70" s="3" t="s">
        <v>16</v>
      </c>
      <c r="K70" s="3" t="s">
        <v>17</v>
      </c>
      <c r="L70" s="3">
        <v>43</v>
      </c>
      <c r="M70" s="3" t="str">
        <f t="shared" si="1"/>
        <v>Middle Age</v>
      </c>
      <c r="N70" s="3" t="s">
        <v>15</v>
      </c>
    </row>
    <row r="71" spans="1:14" x14ac:dyDescent="0.35">
      <c r="A71" s="3">
        <v>16438</v>
      </c>
      <c r="B71" s="3" t="s">
        <v>36</v>
      </c>
      <c r="C71" s="3" t="s">
        <v>38</v>
      </c>
      <c r="D71" s="5">
        <v>10000</v>
      </c>
      <c r="E71" s="3">
        <v>0</v>
      </c>
      <c r="F71" s="3" t="s">
        <v>29</v>
      </c>
      <c r="G71" s="3" t="s">
        <v>25</v>
      </c>
      <c r="H71" s="3" t="s">
        <v>18</v>
      </c>
      <c r="I71" s="3">
        <v>2</v>
      </c>
      <c r="J71" s="3" t="s">
        <v>16</v>
      </c>
      <c r="K71" s="3" t="s">
        <v>17</v>
      </c>
      <c r="L71" s="3">
        <v>30</v>
      </c>
      <c r="M71" s="3" t="str">
        <f t="shared" si="1"/>
        <v>Adolescent</v>
      </c>
      <c r="N71" s="3" t="s">
        <v>18</v>
      </c>
    </row>
    <row r="72" spans="1:14" x14ac:dyDescent="0.35">
      <c r="A72" s="3">
        <v>14238</v>
      </c>
      <c r="B72" s="3" t="s">
        <v>36</v>
      </c>
      <c r="C72" s="3" t="s">
        <v>39</v>
      </c>
      <c r="D72" s="5">
        <v>120000</v>
      </c>
      <c r="E72" s="3">
        <v>0</v>
      </c>
      <c r="F72" s="3" t="s">
        <v>29</v>
      </c>
      <c r="G72" s="3" t="s">
        <v>21</v>
      </c>
      <c r="H72" s="3" t="s">
        <v>15</v>
      </c>
      <c r="I72" s="3">
        <v>4</v>
      </c>
      <c r="J72" s="3" t="s">
        <v>46</v>
      </c>
      <c r="K72" s="3" t="s">
        <v>24</v>
      </c>
      <c r="L72" s="3">
        <v>36</v>
      </c>
      <c r="M72" s="3" t="str">
        <f t="shared" si="1"/>
        <v>Middle Age</v>
      </c>
      <c r="N72" s="3" t="s">
        <v>15</v>
      </c>
    </row>
    <row r="73" spans="1:14" x14ac:dyDescent="0.35">
      <c r="A73" s="3">
        <v>16200</v>
      </c>
      <c r="B73" s="3" t="s">
        <v>37</v>
      </c>
      <c r="C73" s="3" t="s">
        <v>38</v>
      </c>
      <c r="D73" s="5">
        <v>10000</v>
      </c>
      <c r="E73" s="3">
        <v>0</v>
      </c>
      <c r="F73" s="3" t="s">
        <v>29</v>
      </c>
      <c r="G73" s="3" t="s">
        <v>25</v>
      </c>
      <c r="H73" s="3" t="s">
        <v>18</v>
      </c>
      <c r="I73" s="3">
        <v>2</v>
      </c>
      <c r="J73" s="3" t="s">
        <v>16</v>
      </c>
      <c r="K73" s="3" t="s">
        <v>17</v>
      </c>
      <c r="L73" s="3">
        <v>35</v>
      </c>
      <c r="M73" s="3" t="str">
        <f t="shared" si="1"/>
        <v>Middle Age</v>
      </c>
      <c r="N73" s="3" t="s">
        <v>18</v>
      </c>
    </row>
    <row r="74" spans="1:14" x14ac:dyDescent="0.35">
      <c r="A74" s="3">
        <v>24857</v>
      </c>
      <c r="B74" s="3" t="s">
        <v>36</v>
      </c>
      <c r="C74" s="3" t="s">
        <v>38</v>
      </c>
      <c r="D74" s="5">
        <v>130000</v>
      </c>
      <c r="E74" s="3">
        <v>3</v>
      </c>
      <c r="F74" s="3" t="s">
        <v>27</v>
      </c>
      <c r="G74" s="3" t="s">
        <v>21</v>
      </c>
      <c r="H74" s="3" t="s">
        <v>15</v>
      </c>
      <c r="I74" s="3">
        <v>4</v>
      </c>
      <c r="J74" s="3" t="s">
        <v>16</v>
      </c>
      <c r="K74" s="3" t="s">
        <v>17</v>
      </c>
      <c r="L74" s="3">
        <v>52</v>
      </c>
      <c r="M74" s="3" t="str">
        <f t="shared" si="1"/>
        <v>Middle Age</v>
      </c>
      <c r="N74" s="3" t="s">
        <v>18</v>
      </c>
    </row>
    <row r="75" spans="1:14" x14ac:dyDescent="0.35">
      <c r="A75" s="3">
        <v>26956</v>
      </c>
      <c r="B75" s="3" t="s">
        <v>37</v>
      </c>
      <c r="C75" s="3" t="s">
        <v>38</v>
      </c>
      <c r="D75" s="5">
        <v>20000</v>
      </c>
      <c r="E75" s="3">
        <v>0</v>
      </c>
      <c r="F75" s="3" t="s">
        <v>19</v>
      </c>
      <c r="G75" s="3" t="s">
        <v>25</v>
      </c>
      <c r="H75" s="3" t="s">
        <v>18</v>
      </c>
      <c r="I75" s="3">
        <v>1</v>
      </c>
      <c r="J75" s="3" t="s">
        <v>22</v>
      </c>
      <c r="K75" s="3" t="s">
        <v>17</v>
      </c>
      <c r="L75" s="3">
        <v>36</v>
      </c>
      <c r="M75" s="3" t="str">
        <f t="shared" si="1"/>
        <v>Middle Age</v>
      </c>
      <c r="N75" s="3" t="s">
        <v>15</v>
      </c>
    </row>
    <row r="76" spans="1:14" x14ac:dyDescent="0.35">
      <c r="A76" s="3">
        <v>14517</v>
      </c>
      <c r="B76" s="3" t="s">
        <v>36</v>
      </c>
      <c r="C76" s="3" t="s">
        <v>38</v>
      </c>
      <c r="D76" s="5">
        <v>20000</v>
      </c>
      <c r="E76" s="3">
        <v>3</v>
      </c>
      <c r="F76" s="3" t="s">
        <v>27</v>
      </c>
      <c r="G76" s="3" t="s">
        <v>14</v>
      </c>
      <c r="H76" s="3" t="s">
        <v>18</v>
      </c>
      <c r="I76" s="3">
        <v>2</v>
      </c>
      <c r="J76" s="3" t="s">
        <v>26</v>
      </c>
      <c r="K76" s="3" t="s">
        <v>24</v>
      </c>
      <c r="L76" s="3">
        <v>62</v>
      </c>
      <c r="M76" s="3" t="str">
        <f t="shared" si="1"/>
        <v>Old</v>
      </c>
      <c r="N76" s="3" t="s">
        <v>18</v>
      </c>
    </row>
    <row r="77" spans="1:14" x14ac:dyDescent="0.35">
      <c r="A77" s="3">
        <v>12678</v>
      </c>
      <c r="B77" s="3" t="s">
        <v>37</v>
      </c>
      <c r="C77" s="3" t="s">
        <v>38</v>
      </c>
      <c r="D77" s="5">
        <v>130000</v>
      </c>
      <c r="E77" s="3">
        <v>4</v>
      </c>
      <c r="F77" s="3" t="s">
        <v>27</v>
      </c>
      <c r="G77" s="3" t="s">
        <v>28</v>
      </c>
      <c r="H77" s="3" t="s">
        <v>15</v>
      </c>
      <c r="I77" s="3">
        <v>4</v>
      </c>
      <c r="J77" s="3" t="s">
        <v>16</v>
      </c>
      <c r="K77" s="3" t="s">
        <v>24</v>
      </c>
      <c r="L77" s="3">
        <v>31</v>
      </c>
      <c r="M77" s="3" t="str">
        <f t="shared" si="1"/>
        <v>Middle Age</v>
      </c>
      <c r="N77" s="3" t="s">
        <v>18</v>
      </c>
    </row>
    <row r="78" spans="1:14" x14ac:dyDescent="0.35">
      <c r="A78" s="3">
        <v>16188</v>
      </c>
      <c r="B78" s="3" t="s">
        <v>37</v>
      </c>
      <c r="C78" s="3" t="s">
        <v>38</v>
      </c>
      <c r="D78" s="5">
        <v>20000</v>
      </c>
      <c r="E78" s="3">
        <v>0</v>
      </c>
      <c r="F78" s="3" t="s">
        <v>29</v>
      </c>
      <c r="G78" s="3" t="s">
        <v>25</v>
      </c>
      <c r="H78" s="3" t="s">
        <v>18</v>
      </c>
      <c r="I78" s="3">
        <v>2</v>
      </c>
      <c r="J78" s="3" t="s">
        <v>26</v>
      </c>
      <c r="K78" s="3" t="s">
        <v>17</v>
      </c>
      <c r="L78" s="3">
        <v>26</v>
      </c>
      <c r="M78" s="3" t="str">
        <f t="shared" si="1"/>
        <v>Adolescent</v>
      </c>
      <c r="N78" s="3" t="s">
        <v>18</v>
      </c>
    </row>
    <row r="79" spans="1:14" x14ac:dyDescent="0.35">
      <c r="A79" s="3">
        <v>27969</v>
      </c>
      <c r="B79" s="3" t="s">
        <v>36</v>
      </c>
      <c r="C79" s="3" t="s">
        <v>39</v>
      </c>
      <c r="D79" s="5">
        <v>80000</v>
      </c>
      <c r="E79" s="3">
        <v>0</v>
      </c>
      <c r="F79" s="3" t="s">
        <v>13</v>
      </c>
      <c r="G79" s="3" t="s">
        <v>21</v>
      </c>
      <c r="H79" s="3" t="s">
        <v>15</v>
      </c>
      <c r="I79" s="3">
        <v>2</v>
      </c>
      <c r="J79" s="3" t="s">
        <v>46</v>
      </c>
      <c r="K79" s="3" t="s">
        <v>24</v>
      </c>
      <c r="L79" s="3">
        <v>29</v>
      </c>
      <c r="M79" s="3" t="str">
        <f t="shared" si="1"/>
        <v>Adolescent</v>
      </c>
      <c r="N79" s="3" t="s">
        <v>15</v>
      </c>
    </row>
    <row r="80" spans="1:14" x14ac:dyDescent="0.35">
      <c r="A80" s="3">
        <v>15752</v>
      </c>
      <c r="B80" s="3" t="s">
        <v>36</v>
      </c>
      <c r="C80" s="3" t="s">
        <v>39</v>
      </c>
      <c r="D80" s="5">
        <v>80000</v>
      </c>
      <c r="E80" s="3">
        <v>2</v>
      </c>
      <c r="F80" s="3" t="s">
        <v>27</v>
      </c>
      <c r="G80" s="3" t="s">
        <v>14</v>
      </c>
      <c r="H80" s="3" t="s">
        <v>18</v>
      </c>
      <c r="I80" s="3">
        <v>2</v>
      </c>
      <c r="J80" s="3" t="s">
        <v>26</v>
      </c>
      <c r="K80" s="3" t="s">
        <v>24</v>
      </c>
      <c r="L80" s="3">
        <v>50</v>
      </c>
      <c r="M80" s="3" t="str">
        <f t="shared" si="1"/>
        <v>Middle Age</v>
      </c>
      <c r="N80" s="3" t="s">
        <v>15</v>
      </c>
    </row>
    <row r="81" spans="1:14" x14ac:dyDescent="0.35">
      <c r="A81" s="3">
        <v>27745</v>
      </c>
      <c r="B81" s="3" t="s">
        <v>37</v>
      </c>
      <c r="C81" s="3" t="s">
        <v>39</v>
      </c>
      <c r="D81" s="5">
        <v>40000</v>
      </c>
      <c r="E81" s="3">
        <v>2</v>
      </c>
      <c r="F81" s="3" t="s">
        <v>13</v>
      </c>
      <c r="G81" s="3" t="s">
        <v>28</v>
      </c>
      <c r="H81" s="3" t="s">
        <v>15</v>
      </c>
      <c r="I81" s="3">
        <v>2</v>
      </c>
      <c r="J81" s="3" t="s">
        <v>23</v>
      </c>
      <c r="K81" s="3" t="s">
        <v>24</v>
      </c>
      <c r="L81" s="3">
        <v>63</v>
      </c>
      <c r="M81" s="3" t="str">
        <f t="shared" si="1"/>
        <v>Old</v>
      </c>
      <c r="N81" s="3" t="s">
        <v>15</v>
      </c>
    </row>
    <row r="82" spans="1:14" x14ac:dyDescent="0.35">
      <c r="A82" s="3">
        <v>20828</v>
      </c>
      <c r="B82" s="3" t="s">
        <v>36</v>
      </c>
      <c r="C82" s="3" t="s">
        <v>38</v>
      </c>
      <c r="D82" s="5">
        <v>30000</v>
      </c>
      <c r="E82" s="3">
        <v>4</v>
      </c>
      <c r="F82" s="3" t="s">
        <v>31</v>
      </c>
      <c r="G82" s="3" t="s">
        <v>20</v>
      </c>
      <c r="H82" s="3" t="s">
        <v>15</v>
      </c>
      <c r="I82" s="3">
        <v>0</v>
      </c>
      <c r="J82" s="3" t="s">
        <v>16</v>
      </c>
      <c r="K82" s="3" t="s">
        <v>17</v>
      </c>
      <c r="L82" s="3">
        <v>45</v>
      </c>
      <c r="M82" s="3" t="str">
        <f t="shared" si="1"/>
        <v>Middle Age</v>
      </c>
      <c r="N82" s="3" t="s">
        <v>15</v>
      </c>
    </row>
    <row r="83" spans="1:14" x14ac:dyDescent="0.35">
      <c r="A83" s="3">
        <v>19461</v>
      </c>
      <c r="B83" s="3" t="s">
        <v>37</v>
      </c>
      <c r="C83" s="3" t="s">
        <v>38</v>
      </c>
      <c r="D83" s="5">
        <v>10000</v>
      </c>
      <c r="E83" s="3">
        <v>4</v>
      </c>
      <c r="F83" s="3" t="s">
        <v>29</v>
      </c>
      <c r="G83" s="3" t="s">
        <v>25</v>
      </c>
      <c r="H83" s="3" t="s">
        <v>15</v>
      </c>
      <c r="I83" s="3">
        <v>2</v>
      </c>
      <c r="J83" s="3" t="s">
        <v>16</v>
      </c>
      <c r="K83" s="3" t="s">
        <v>17</v>
      </c>
      <c r="L83" s="3">
        <v>40</v>
      </c>
      <c r="M83" s="3" t="str">
        <f t="shared" si="1"/>
        <v>Middle Age</v>
      </c>
      <c r="N83" s="3" t="s">
        <v>18</v>
      </c>
    </row>
    <row r="84" spans="1:14" x14ac:dyDescent="0.35">
      <c r="A84" s="3">
        <v>26941</v>
      </c>
      <c r="B84" s="3" t="s">
        <v>36</v>
      </c>
      <c r="C84" s="3" t="s">
        <v>39</v>
      </c>
      <c r="D84" s="5">
        <v>30000</v>
      </c>
      <c r="E84" s="3">
        <v>0</v>
      </c>
      <c r="F84" s="3" t="s">
        <v>13</v>
      </c>
      <c r="G84" s="3" t="s">
        <v>20</v>
      </c>
      <c r="H84" s="3" t="s">
        <v>15</v>
      </c>
      <c r="I84" s="3">
        <v>0</v>
      </c>
      <c r="J84" s="3" t="s">
        <v>16</v>
      </c>
      <c r="K84" s="3" t="s">
        <v>17</v>
      </c>
      <c r="L84" s="3">
        <v>47</v>
      </c>
      <c r="M84" s="3" t="str">
        <f t="shared" si="1"/>
        <v>Middle Age</v>
      </c>
      <c r="N84" s="3" t="s">
        <v>15</v>
      </c>
    </row>
    <row r="85" spans="1:14" x14ac:dyDescent="0.35">
      <c r="A85" s="3">
        <v>28412</v>
      </c>
      <c r="B85" s="3" t="s">
        <v>37</v>
      </c>
      <c r="C85" s="3" t="s">
        <v>39</v>
      </c>
      <c r="D85" s="5">
        <v>20000</v>
      </c>
      <c r="E85" s="3">
        <v>0</v>
      </c>
      <c r="F85" s="3" t="s">
        <v>27</v>
      </c>
      <c r="G85" s="3" t="s">
        <v>25</v>
      </c>
      <c r="H85" s="3" t="s">
        <v>18</v>
      </c>
      <c r="I85" s="3">
        <v>1</v>
      </c>
      <c r="J85" s="3" t="s">
        <v>22</v>
      </c>
      <c r="K85" s="3" t="s">
        <v>17</v>
      </c>
      <c r="L85" s="3">
        <v>29</v>
      </c>
      <c r="M85" s="3" t="str">
        <f t="shared" si="1"/>
        <v>Adolescent</v>
      </c>
      <c r="N85" s="3" t="s">
        <v>18</v>
      </c>
    </row>
    <row r="86" spans="1:14" x14ac:dyDescent="0.35">
      <c r="A86" s="3">
        <v>24485</v>
      </c>
      <c r="B86" s="3" t="s">
        <v>37</v>
      </c>
      <c r="C86" s="3" t="s">
        <v>39</v>
      </c>
      <c r="D86" s="5">
        <v>40000</v>
      </c>
      <c r="E86" s="3">
        <v>2</v>
      </c>
      <c r="F86" s="3" t="s">
        <v>13</v>
      </c>
      <c r="G86" s="3" t="s">
        <v>28</v>
      </c>
      <c r="H86" s="3" t="s">
        <v>18</v>
      </c>
      <c r="I86" s="3">
        <v>1</v>
      </c>
      <c r="J86" s="3" t="s">
        <v>23</v>
      </c>
      <c r="K86" s="3" t="s">
        <v>24</v>
      </c>
      <c r="L86" s="3">
        <v>52</v>
      </c>
      <c r="M86" s="3" t="str">
        <f t="shared" si="1"/>
        <v>Middle Age</v>
      </c>
      <c r="N86" s="3" t="s">
        <v>15</v>
      </c>
    </row>
    <row r="87" spans="1:14" x14ac:dyDescent="0.35">
      <c r="A87" s="3">
        <v>16514</v>
      </c>
      <c r="B87" s="3" t="s">
        <v>37</v>
      </c>
      <c r="C87" s="3" t="s">
        <v>39</v>
      </c>
      <c r="D87" s="5">
        <v>10000</v>
      </c>
      <c r="E87" s="3">
        <v>0</v>
      </c>
      <c r="F87" s="3" t="s">
        <v>19</v>
      </c>
      <c r="G87" s="3" t="s">
        <v>25</v>
      </c>
      <c r="H87" s="3" t="s">
        <v>15</v>
      </c>
      <c r="I87" s="3">
        <v>1</v>
      </c>
      <c r="J87" s="3" t="s">
        <v>26</v>
      </c>
      <c r="K87" s="3" t="s">
        <v>24</v>
      </c>
      <c r="L87" s="3">
        <v>26</v>
      </c>
      <c r="M87" s="3" t="str">
        <f t="shared" si="1"/>
        <v>Adolescent</v>
      </c>
      <c r="N87" s="3" t="s">
        <v>15</v>
      </c>
    </row>
    <row r="88" spans="1:14" x14ac:dyDescent="0.35">
      <c r="A88" s="3">
        <v>17191</v>
      </c>
      <c r="B88" s="3" t="s">
        <v>37</v>
      </c>
      <c r="C88" s="3" t="s">
        <v>39</v>
      </c>
      <c r="D88" s="5">
        <v>130000</v>
      </c>
      <c r="E88" s="3">
        <v>3</v>
      </c>
      <c r="F88" s="3" t="s">
        <v>19</v>
      </c>
      <c r="G88" s="3" t="s">
        <v>21</v>
      </c>
      <c r="H88" s="3" t="s">
        <v>18</v>
      </c>
      <c r="I88" s="3">
        <v>3</v>
      </c>
      <c r="J88" s="3" t="s">
        <v>16</v>
      </c>
      <c r="K88" s="3" t="s">
        <v>17</v>
      </c>
      <c r="L88" s="3">
        <v>51</v>
      </c>
      <c r="M88" s="3" t="str">
        <f t="shared" si="1"/>
        <v>Middle Age</v>
      </c>
      <c r="N88" s="3" t="s">
        <v>15</v>
      </c>
    </row>
    <row r="89" spans="1:14" x14ac:dyDescent="0.35">
      <c r="A89" s="3">
        <v>19608</v>
      </c>
      <c r="B89" s="3" t="s">
        <v>36</v>
      </c>
      <c r="C89" s="3" t="s">
        <v>39</v>
      </c>
      <c r="D89" s="5">
        <v>80000</v>
      </c>
      <c r="E89" s="3">
        <v>5</v>
      </c>
      <c r="F89" s="3" t="s">
        <v>13</v>
      </c>
      <c r="G89" s="3" t="s">
        <v>21</v>
      </c>
      <c r="H89" s="3" t="s">
        <v>15</v>
      </c>
      <c r="I89" s="3">
        <v>4</v>
      </c>
      <c r="J89" s="3" t="s">
        <v>26</v>
      </c>
      <c r="K89" s="3" t="s">
        <v>24</v>
      </c>
      <c r="L89" s="3">
        <v>40</v>
      </c>
      <c r="M89" s="3" t="str">
        <f t="shared" si="1"/>
        <v>Middle Age</v>
      </c>
      <c r="N89" s="3" t="s">
        <v>18</v>
      </c>
    </row>
    <row r="90" spans="1:14" x14ac:dyDescent="0.35">
      <c r="A90" s="3">
        <v>24119</v>
      </c>
      <c r="B90" s="3" t="s">
        <v>37</v>
      </c>
      <c r="C90" s="3" t="s">
        <v>39</v>
      </c>
      <c r="D90" s="5">
        <v>30000</v>
      </c>
      <c r="E90" s="3">
        <v>0</v>
      </c>
      <c r="F90" s="3" t="s">
        <v>19</v>
      </c>
      <c r="G90" s="3" t="s">
        <v>20</v>
      </c>
      <c r="H90" s="3" t="s">
        <v>18</v>
      </c>
      <c r="I90" s="3">
        <v>1</v>
      </c>
      <c r="J90" s="3" t="s">
        <v>22</v>
      </c>
      <c r="K90" s="3" t="s">
        <v>17</v>
      </c>
      <c r="L90" s="3">
        <v>29</v>
      </c>
      <c r="M90" s="3" t="str">
        <f t="shared" si="1"/>
        <v>Adolescent</v>
      </c>
      <c r="N90" s="3" t="s">
        <v>18</v>
      </c>
    </row>
    <row r="91" spans="1:14" x14ac:dyDescent="0.35">
      <c r="A91" s="3">
        <v>25458</v>
      </c>
      <c r="B91" s="3" t="s">
        <v>36</v>
      </c>
      <c r="C91" s="3" t="s">
        <v>39</v>
      </c>
      <c r="D91" s="5">
        <v>20000</v>
      </c>
      <c r="E91" s="3">
        <v>1</v>
      </c>
      <c r="F91" s="3" t="s">
        <v>27</v>
      </c>
      <c r="G91" s="3" t="s">
        <v>25</v>
      </c>
      <c r="H91" s="3" t="s">
        <v>18</v>
      </c>
      <c r="I91" s="3">
        <v>1</v>
      </c>
      <c r="J91" s="3" t="s">
        <v>26</v>
      </c>
      <c r="K91" s="3" t="s">
        <v>17</v>
      </c>
      <c r="L91" s="3">
        <v>40</v>
      </c>
      <c r="M91" s="3" t="str">
        <f t="shared" si="1"/>
        <v>Middle Age</v>
      </c>
      <c r="N91" s="3" t="s">
        <v>15</v>
      </c>
    </row>
    <row r="92" spans="1:14" x14ac:dyDescent="0.35">
      <c r="A92" s="3">
        <v>26886</v>
      </c>
      <c r="B92" s="3" t="s">
        <v>37</v>
      </c>
      <c r="C92" s="3" t="s">
        <v>38</v>
      </c>
      <c r="D92" s="5">
        <v>30000</v>
      </c>
      <c r="E92" s="3">
        <v>0</v>
      </c>
      <c r="F92" s="3" t="s">
        <v>19</v>
      </c>
      <c r="G92" s="3" t="s">
        <v>20</v>
      </c>
      <c r="H92" s="3" t="s">
        <v>18</v>
      </c>
      <c r="I92" s="3">
        <v>1</v>
      </c>
      <c r="J92" s="3" t="s">
        <v>16</v>
      </c>
      <c r="K92" s="3" t="s">
        <v>17</v>
      </c>
      <c r="L92" s="3">
        <v>29</v>
      </c>
      <c r="M92" s="3" t="str">
        <f t="shared" si="1"/>
        <v>Adolescent</v>
      </c>
      <c r="N92" s="3" t="s">
        <v>15</v>
      </c>
    </row>
    <row r="93" spans="1:14" x14ac:dyDescent="0.35">
      <c r="A93" s="3">
        <v>28436</v>
      </c>
      <c r="B93" s="3" t="s">
        <v>37</v>
      </c>
      <c r="C93" s="3" t="s">
        <v>39</v>
      </c>
      <c r="D93" s="5">
        <v>30000</v>
      </c>
      <c r="E93" s="3">
        <v>0</v>
      </c>
      <c r="F93" s="3" t="s">
        <v>19</v>
      </c>
      <c r="G93" s="3" t="s">
        <v>20</v>
      </c>
      <c r="H93" s="3" t="s">
        <v>18</v>
      </c>
      <c r="I93" s="3">
        <v>1</v>
      </c>
      <c r="J93" s="3" t="s">
        <v>16</v>
      </c>
      <c r="K93" s="3" t="s">
        <v>17</v>
      </c>
      <c r="L93" s="3">
        <v>30</v>
      </c>
      <c r="M93" s="3" t="str">
        <f t="shared" si="1"/>
        <v>Adolescent</v>
      </c>
      <c r="N93" s="3" t="s">
        <v>15</v>
      </c>
    </row>
    <row r="94" spans="1:14" x14ac:dyDescent="0.35">
      <c r="A94" s="3">
        <v>19562</v>
      </c>
      <c r="B94" s="3" t="s">
        <v>37</v>
      </c>
      <c r="C94" s="3" t="s">
        <v>38</v>
      </c>
      <c r="D94" s="5">
        <v>60000</v>
      </c>
      <c r="E94" s="3">
        <v>2</v>
      </c>
      <c r="F94" s="3" t="s">
        <v>13</v>
      </c>
      <c r="G94" s="3" t="s">
        <v>21</v>
      </c>
      <c r="H94" s="3" t="s">
        <v>15</v>
      </c>
      <c r="I94" s="3">
        <v>1</v>
      </c>
      <c r="J94" s="3" t="s">
        <v>22</v>
      </c>
      <c r="K94" s="3" t="s">
        <v>24</v>
      </c>
      <c r="L94" s="3">
        <v>37</v>
      </c>
      <c r="M94" s="3" t="str">
        <f t="shared" si="1"/>
        <v>Middle Age</v>
      </c>
      <c r="N94" s="3" t="s">
        <v>15</v>
      </c>
    </row>
    <row r="95" spans="1:14" x14ac:dyDescent="0.35">
      <c r="A95" s="3">
        <v>15608</v>
      </c>
      <c r="B95" s="3" t="s">
        <v>37</v>
      </c>
      <c r="C95" s="3" t="s">
        <v>38</v>
      </c>
      <c r="D95" s="5">
        <v>30000</v>
      </c>
      <c r="E95" s="3">
        <v>0</v>
      </c>
      <c r="F95" s="3" t="s">
        <v>19</v>
      </c>
      <c r="G95" s="3" t="s">
        <v>20</v>
      </c>
      <c r="H95" s="3" t="s">
        <v>18</v>
      </c>
      <c r="I95" s="3">
        <v>1</v>
      </c>
      <c r="J95" s="3" t="s">
        <v>22</v>
      </c>
      <c r="K95" s="3" t="s">
        <v>17</v>
      </c>
      <c r="L95" s="3">
        <v>33</v>
      </c>
      <c r="M95" s="3" t="str">
        <f t="shared" si="1"/>
        <v>Middle Age</v>
      </c>
      <c r="N95" s="3" t="s">
        <v>18</v>
      </c>
    </row>
    <row r="96" spans="1:14" x14ac:dyDescent="0.35">
      <c r="A96" s="3">
        <v>16487</v>
      </c>
      <c r="B96" s="3" t="s">
        <v>37</v>
      </c>
      <c r="C96" s="3" t="s">
        <v>38</v>
      </c>
      <c r="D96" s="5">
        <v>30000</v>
      </c>
      <c r="E96" s="3">
        <v>3</v>
      </c>
      <c r="F96" s="3" t="s">
        <v>27</v>
      </c>
      <c r="G96" s="3" t="s">
        <v>14</v>
      </c>
      <c r="H96" s="3" t="s">
        <v>15</v>
      </c>
      <c r="I96" s="3">
        <v>2</v>
      </c>
      <c r="J96" s="3" t="s">
        <v>23</v>
      </c>
      <c r="K96" s="3" t="s">
        <v>24</v>
      </c>
      <c r="L96" s="3">
        <v>55</v>
      </c>
      <c r="M96" s="3" t="str">
        <f t="shared" si="1"/>
        <v>Old</v>
      </c>
      <c r="N96" s="3" t="s">
        <v>18</v>
      </c>
    </row>
    <row r="97" spans="1:14" x14ac:dyDescent="0.35">
      <c r="A97" s="3">
        <v>17197</v>
      </c>
      <c r="B97" s="3" t="s">
        <v>37</v>
      </c>
      <c r="C97" s="3" t="s">
        <v>38</v>
      </c>
      <c r="D97" s="5">
        <v>90000</v>
      </c>
      <c r="E97" s="3">
        <v>5</v>
      </c>
      <c r="F97" s="3" t="s">
        <v>19</v>
      </c>
      <c r="G97" s="3" t="s">
        <v>21</v>
      </c>
      <c r="H97" s="3" t="s">
        <v>15</v>
      </c>
      <c r="I97" s="3">
        <v>2</v>
      </c>
      <c r="J97" s="3" t="s">
        <v>46</v>
      </c>
      <c r="K97" s="3" t="s">
        <v>17</v>
      </c>
      <c r="L97" s="3">
        <v>62</v>
      </c>
      <c r="M97" s="3" t="str">
        <f t="shared" si="1"/>
        <v>Old</v>
      </c>
      <c r="N97" s="3" t="s">
        <v>18</v>
      </c>
    </row>
    <row r="98" spans="1:14" x14ac:dyDescent="0.35">
      <c r="A98" s="3">
        <v>12507</v>
      </c>
      <c r="B98" s="3" t="s">
        <v>36</v>
      </c>
      <c r="C98" s="3" t="s">
        <v>39</v>
      </c>
      <c r="D98" s="5">
        <v>30000</v>
      </c>
      <c r="E98" s="3">
        <v>1</v>
      </c>
      <c r="F98" s="3" t="s">
        <v>19</v>
      </c>
      <c r="G98" s="3" t="s">
        <v>20</v>
      </c>
      <c r="H98" s="3" t="s">
        <v>15</v>
      </c>
      <c r="I98" s="3">
        <v>1</v>
      </c>
      <c r="J98" s="3" t="s">
        <v>16</v>
      </c>
      <c r="K98" s="3" t="s">
        <v>17</v>
      </c>
      <c r="L98" s="3">
        <v>43</v>
      </c>
      <c r="M98" s="3" t="str">
        <f t="shared" si="1"/>
        <v>Middle Age</v>
      </c>
      <c r="N98" s="3" t="s">
        <v>18</v>
      </c>
    </row>
    <row r="99" spans="1:14" x14ac:dyDescent="0.35">
      <c r="A99" s="3">
        <v>23940</v>
      </c>
      <c r="B99" s="3" t="s">
        <v>36</v>
      </c>
      <c r="C99" s="3" t="s">
        <v>39</v>
      </c>
      <c r="D99" s="5">
        <v>40000</v>
      </c>
      <c r="E99" s="3">
        <v>1</v>
      </c>
      <c r="F99" s="3" t="s">
        <v>13</v>
      </c>
      <c r="G99" s="3" t="s">
        <v>14</v>
      </c>
      <c r="H99" s="3" t="s">
        <v>15</v>
      </c>
      <c r="I99" s="3">
        <v>1</v>
      </c>
      <c r="J99" s="3" t="s">
        <v>16</v>
      </c>
      <c r="K99" s="3" t="s">
        <v>17</v>
      </c>
      <c r="L99" s="3">
        <v>44</v>
      </c>
      <c r="M99" s="3" t="str">
        <f t="shared" si="1"/>
        <v>Middle Age</v>
      </c>
      <c r="N99" s="3" t="s">
        <v>15</v>
      </c>
    </row>
    <row r="100" spans="1:14" x14ac:dyDescent="0.35">
      <c r="A100" s="3">
        <v>19441</v>
      </c>
      <c r="B100" s="3" t="s">
        <v>36</v>
      </c>
      <c r="C100" s="3" t="s">
        <v>39</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35">
      <c r="A101" s="3">
        <v>26852</v>
      </c>
      <c r="B101" s="3" t="s">
        <v>36</v>
      </c>
      <c r="C101" s="3" t="s">
        <v>38</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35">
      <c r="A102" s="3">
        <v>12274</v>
      </c>
      <c r="B102" s="3" t="s">
        <v>37</v>
      </c>
      <c r="C102" s="3" t="s">
        <v>39</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35">
      <c r="A103" s="3">
        <v>20236</v>
      </c>
      <c r="B103" s="3" t="s">
        <v>37</v>
      </c>
      <c r="C103" s="3" t="s">
        <v>39</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35">
      <c r="A104" s="3">
        <v>24149</v>
      </c>
      <c r="B104" s="3" t="s">
        <v>36</v>
      </c>
      <c r="C104" s="3" t="s">
        <v>39</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35">
      <c r="A105" s="3">
        <v>26139</v>
      </c>
      <c r="B105" s="3" t="s">
        <v>37</v>
      </c>
      <c r="C105" s="3" t="s">
        <v>39</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35">
      <c r="A106" s="3">
        <v>18491</v>
      </c>
      <c r="B106" s="3" t="s">
        <v>37</v>
      </c>
      <c r="C106" s="3" t="s">
        <v>38</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35">
      <c r="A107" s="3">
        <v>22707</v>
      </c>
      <c r="B107" s="3" t="s">
        <v>37</v>
      </c>
      <c r="C107" s="3" t="s">
        <v>38</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35">
      <c r="A108" s="3">
        <v>20430</v>
      </c>
      <c r="B108" s="3" t="s">
        <v>36</v>
      </c>
      <c r="C108" s="3" t="s">
        <v>39</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35">
      <c r="A109" s="3">
        <v>27494</v>
      </c>
      <c r="B109" s="3" t="s">
        <v>37</v>
      </c>
      <c r="C109" s="3" t="s">
        <v>38</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35">
      <c r="A110" s="3">
        <v>26829</v>
      </c>
      <c r="B110" s="3" t="s">
        <v>36</v>
      </c>
      <c r="C110" s="3" t="s">
        <v>38</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35">
      <c r="A111" s="3">
        <v>28395</v>
      </c>
      <c r="B111" s="3" t="s">
        <v>37</v>
      </c>
      <c r="C111" s="3" t="s">
        <v>39</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35">
      <c r="A112" s="3">
        <v>21006</v>
      </c>
      <c r="B112" s="3" t="s">
        <v>37</v>
      </c>
      <c r="C112" s="3" t="s">
        <v>38</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35">
      <c r="A113" s="3">
        <v>14682</v>
      </c>
      <c r="B113" s="3" t="s">
        <v>37</v>
      </c>
      <c r="C113" s="3" t="s">
        <v>38</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35">
      <c r="A114" s="3">
        <v>17650</v>
      </c>
      <c r="B114" s="3" t="s">
        <v>37</v>
      </c>
      <c r="C114" s="3" t="s">
        <v>38</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35">
      <c r="A115" s="3">
        <v>29191</v>
      </c>
      <c r="B115" s="3" t="s">
        <v>37</v>
      </c>
      <c r="C115" s="3" t="s">
        <v>38</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35">
      <c r="A116" s="3">
        <v>15030</v>
      </c>
      <c r="B116" s="3" t="s">
        <v>36</v>
      </c>
      <c r="C116" s="3" t="s">
        <v>39</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35">
      <c r="A117" s="3">
        <v>24140</v>
      </c>
      <c r="B117" s="3" t="s">
        <v>37</v>
      </c>
      <c r="C117" s="3" t="s">
        <v>39</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35">
      <c r="A118" s="3">
        <v>22496</v>
      </c>
      <c r="B118" s="3" t="s">
        <v>36</v>
      </c>
      <c r="C118" s="3" t="s">
        <v>38</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35">
      <c r="A119" s="3">
        <v>24065</v>
      </c>
      <c r="B119" s="3" t="s">
        <v>37</v>
      </c>
      <c r="C119" s="3" t="s">
        <v>38</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35">
      <c r="A120" s="3">
        <v>19914</v>
      </c>
      <c r="B120" s="3" t="s">
        <v>36</v>
      </c>
      <c r="C120" s="3" t="s">
        <v>39</v>
      </c>
      <c r="D120" s="5">
        <v>80000</v>
      </c>
      <c r="E120" s="3">
        <v>5</v>
      </c>
      <c r="F120" s="3" t="s">
        <v>13</v>
      </c>
      <c r="G120" s="3" t="s">
        <v>28</v>
      </c>
      <c r="H120" s="3" t="s">
        <v>15</v>
      </c>
      <c r="I120" s="3">
        <v>2</v>
      </c>
      <c r="J120" s="3" t="s">
        <v>22</v>
      </c>
      <c r="K120" s="3" t="s">
        <v>17</v>
      </c>
      <c r="L120" s="3">
        <v>62</v>
      </c>
      <c r="M120" s="3" t="str">
        <f t="shared" si="1"/>
        <v>Old</v>
      </c>
      <c r="N120" s="3" t="s">
        <v>18</v>
      </c>
    </row>
    <row r="121" spans="1:14" x14ac:dyDescent="0.35">
      <c r="A121" s="3">
        <v>12871</v>
      </c>
      <c r="B121" s="3" t="s">
        <v>37</v>
      </c>
      <c r="C121" s="3" t="s">
        <v>38</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35">
      <c r="A122" s="3">
        <v>22988</v>
      </c>
      <c r="B122" s="3" t="s">
        <v>36</v>
      </c>
      <c r="C122" s="3" t="s">
        <v>38</v>
      </c>
      <c r="D122" s="5">
        <v>40000</v>
      </c>
      <c r="E122" s="3">
        <v>2</v>
      </c>
      <c r="F122" s="3" t="s">
        <v>13</v>
      </c>
      <c r="G122" s="3" t="s">
        <v>28</v>
      </c>
      <c r="H122" s="3" t="s">
        <v>15</v>
      </c>
      <c r="I122" s="3">
        <v>2</v>
      </c>
      <c r="J122" s="3" t="s">
        <v>23</v>
      </c>
      <c r="K122" s="3" t="s">
        <v>24</v>
      </c>
      <c r="L122" s="3">
        <v>66</v>
      </c>
      <c r="M122" s="3" t="str">
        <f t="shared" si="1"/>
        <v>Old</v>
      </c>
      <c r="N122" s="3" t="s">
        <v>15</v>
      </c>
    </row>
    <row r="123" spans="1:14" x14ac:dyDescent="0.35">
      <c r="A123" s="3">
        <v>15922</v>
      </c>
      <c r="B123" s="3" t="s">
        <v>36</v>
      </c>
      <c r="C123" s="3" t="s">
        <v>39</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35">
      <c r="A124" s="3">
        <v>12344</v>
      </c>
      <c r="B124" s="3" t="s">
        <v>37</v>
      </c>
      <c r="C124" s="3" t="s">
        <v>38</v>
      </c>
      <c r="D124" s="5">
        <v>80000</v>
      </c>
      <c r="E124" s="3">
        <v>0</v>
      </c>
      <c r="F124" s="3" t="s">
        <v>13</v>
      </c>
      <c r="G124" s="3" t="s">
        <v>21</v>
      </c>
      <c r="H124" s="3" t="s">
        <v>18</v>
      </c>
      <c r="I124" s="3">
        <v>3</v>
      </c>
      <c r="J124" s="3" t="s">
        <v>46</v>
      </c>
      <c r="K124" s="3" t="s">
        <v>24</v>
      </c>
      <c r="L124" s="3">
        <v>31</v>
      </c>
      <c r="M124" s="3" t="str">
        <f t="shared" si="1"/>
        <v>Middle Age</v>
      </c>
      <c r="N124" s="3" t="s">
        <v>18</v>
      </c>
    </row>
    <row r="125" spans="1:14" x14ac:dyDescent="0.35">
      <c r="A125" s="3">
        <v>23627</v>
      </c>
      <c r="B125" s="3" t="s">
        <v>37</v>
      </c>
      <c r="C125" s="3" t="s">
        <v>38</v>
      </c>
      <c r="D125" s="5">
        <v>100000</v>
      </c>
      <c r="E125" s="3">
        <v>3</v>
      </c>
      <c r="F125" s="3" t="s">
        <v>19</v>
      </c>
      <c r="G125" s="3" t="s">
        <v>28</v>
      </c>
      <c r="H125" s="3" t="s">
        <v>18</v>
      </c>
      <c r="I125" s="3">
        <v>4</v>
      </c>
      <c r="J125" s="3" t="s">
        <v>23</v>
      </c>
      <c r="K125" s="3" t="s">
        <v>17</v>
      </c>
      <c r="L125" s="3">
        <v>56</v>
      </c>
      <c r="M125" s="3" t="str">
        <f t="shared" si="1"/>
        <v>Old</v>
      </c>
      <c r="N125" s="3" t="s">
        <v>18</v>
      </c>
    </row>
    <row r="126" spans="1:14" x14ac:dyDescent="0.35">
      <c r="A126" s="3">
        <v>27775</v>
      </c>
      <c r="B126" s="3" t="s">
        <v>37</v>
      </c>
      <c r="C126" s="3" t="s">
        <v>38</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35">
      <c r="A127" s="3">
        <v>29301</v>
      </c>
      <c r="B127" s="3" t="s">
        <v>36</v>
      </c>
      <c r="C127" s="3" t="s">
        <v>39</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35">
      <c r="A128" s="3">
        <v>12716</v>
      </c>
      <c r="B128" s="3" t="s">
        <v>37</v>
      </c>
      <c r="C128" s="3" t="s">
        <v>39</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35">
      <c r="A129" s="3">
        <v>12472</v>
      </c>
      <c r="B129" s="3" t="s">
        <v>36</v>
      </c>
      <c r="C129" s="3" t="s">
        <v>39</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35">
      <c r="A130" s="3">
        <v>20970</v>
      </c>
      <c r="B130" s="3" t="s">
        <v>37</v>
      </c>
      <c r="C130" s="3" t="s">
        <v>39</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35">
      <c r="A131" s="3">
        <v>26818</v>
      </c>
      <c r="B131" s="3" t="s">
        <v>37</v>
      </c>
      <c r="C131" s="3" t="s">
        <v>39</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35">
      <c r="A132" s="3">
        <v>12993</v>
      </c>
      <c r="B132" s="3" t="s">
        <v>36</v>
      </c>
      <c r="C132" s="3" t="s">
        <v>39</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35">
      <c r="A133" s="3">
        <v>14192</v>
      </c>
      <c r="B133" s="3" t="s">
        <v>36</v>
      </c>
      <c r="C133" s="3" t="s">
        <v>39</v>
      </c>
      <c r="D133" s="5">
        <v>90000</v>
      </c>
      <c r="E133" s="3">
        <v>4</v>
      </c>
      <c r="F133" s="3" t="s">
        <v>27</v>
      </c>
      <c r="G133" s="3" t="s">
        <v>28</v>
      </c>
      <c r="H133" s="3" t="s">
        <v>15</v>
      </c>
      <c r="I133" s="3">
        <v>3</v>
      </c>
      <c r="J133" s="3" t="s">
        <v>23</v>
      </c>
      <c r="K133" s="3" t="s">
        <v>17</v>
      </c>
      <c r="L133" s="3">
        <v>56</v>
      </c>
      <c r="M133" s="3" t="str">
        <f t="shared" si="2"/>
        <v>Old</v>
      </c>
      <c r="N133" s="3" t="s">
        <v>15</v>
      </c>
    </row>
    <row r="134" spans="1:14" x14ac:dyDescent="0.35">
      <c r="A134" s="3">
        <v>19477</v>
      </c>
      <c r="B134" s="3" t="s">
        <v>36</v>
      </c>
      <c r="C134" s="3" t="s">
        <v>39</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35">
      <c r="A135" s="3">
        <v>26796</v>
      </c>
      <c r="B135" s="3" t="s">
        <v>37</v>
      </c>
      <c r="C135" s="3" t="s">
        <v>39</v>
      </c>
      <c r="D135" s="5">
        <v>40000</v>
      </c>
      <c r="E135" s="3">
        <v>2</v>
      </c>
      <c r="F135" s="3" t="s">
        <v>13</v>
      </c>
      <c r="G135" s="3" t="s">
        <v>28</v>
      </c>
      <c r="H135" s="3" t="s">
        <v>15</v>
      </c>
      <c r="I135" s="3">
        <v>2</v>
      </c>
      <c r="J135" s="3" t="s">
        <v>23</v>
      </c>
      <c r="K135" s="3" t="s">
        <v>24</v>
      </c>
      <c r="L135" s="3">
        <v>65</v>
      </c>
      <c r="M135" s="3" t="str">
        <f t="shared" si="2"/>
        <v>Old</v>
      </c>
      <c r="N135" s="3" t="s">
        <v>15</v>
      </c>
    </row>
    <row r="136" spans="1:14" x14ac:dyDescent="0.35">
      <c r="A136" s="3">
        <v>21094</v>
      </c>
      <c r="B136" s="3" t="s">
        <v>37</v>
      </c>
      <c r="C136" s="3" t="s">
        <v>38</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35">
      <c r="A137" s="3">
        <v>12234</v>
      </c>
      <c r="B137" s="3" t="s">
        <v>36</v>
      </c>
      <c r="C137" s="3" t="s">
        <v>39</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35">
      <c r="A138" s="3">
        <v>28683</v>
      </c>
      <c r="B138" s="3" t="s">
        <v>37</v>
      </c>
      <c r="C138" s="3" t="s">
        <v>38</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35">
      <c r="A139" s="3">
        <v>17994</v>
      </c>
      <c r="B139" s="3" t="s">
        <v>37</v>
      </c>
      <c r="C139" s="3" t="s">
        <v>39</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35">
      <c r="A140" s="3">
        <v>24273</v>
      </c>
      <c r="B140" s="3" t="s">
        <v>36</v>
      </c>
      <c r="C140" s="3" t="s">
        <v>38</v>
      </c>
      <c r="D140" s="5">
        <v>20000</v>
      </c>
      <c r="E140" s="3">
        <v>2</v>
      </c>
      <c r="F140" s="3" t="s">
        <v>29</v>
      </c>
      <c r="G140" s="3" t="s">
        <v>20</v>
      </c>
      <c r="H140" s="3" t="s">
        <v>15</v>
      </c>
      <c r="I140" s="3">
        <v>2</v>
      </c>
      <c r="J140" s="3" t="s">
        <v>23</v>
      </c>
      <c r="K140" s="3" t="s">
        <v>24</v>
      </c>
      <c r="L140" s="3">
        <v>55</v>
      </c>
      <c r="M140" s="3" t="str">
        <f t="shared" si="2"/>
        <v>Old</v>
      </c>
      <c r="N140" s="3" t="s">
        <v>15</v>
      </c>
    </row>
    <row r="141" spans="1:14" x14ac:dyDescent="0.35">
      <c r="A141" s="3">
        <v>26547</v>
      </c>
      <c r="B141" s="3" t="s">
        <v>37</v>
      </c>
      <c r="C141" s="3" t="s">
        <v>38</v>
      </c>
      <c r="D141" s="5">
        <v>30000</v>
      </c>
      <c r="E141" s="3">
        <v>2</v>
      </c>
      <c r="F141" s="3" t="s">
        <v>19</v>
      </c>
      <c r="G141" s="3" t="s">
        <v>20</v>
      </c>
      <c r="H141" s="3" t="s">
        <v>18</v>
      </c>
      <c r="I141" s="3">
        <v>2</v>
      </c>
      <c r="J141" s="3" t="s">
        <v>23</v>
      </c>
      <c r="K141" s="3" t="s">
        <v>24</v>
      </c>
      <c r="L141" s="3">
        <v>60</v>
      </c>
      <c r="M141" s="3" t="str">
        <f t="shared" si="2"/>
        <v>Old</v>
      </c>
      <c r="N141" s="3" t="s">
        <v>15</v>
      </c>
    </row>
    <row r="142" spans="1:14" x14ac:dyDescent="0.35">
      <c r="A142" s="3">
        <v>22500</v>
      </c>
      <c r="B142" s="3" t="s">
        <v>37</v>
      </c>
      <c r="C142" s="3" t="s">
        <v>39</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35">
      <c r="A143" s="3">
        <v>23993</v>
      </c>
      <c r="B143" s="3" t="s">
        <v>37</v>
      </c>
      <c r="C143" s="3" t="s">
        <v>38</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35">
      <c r="A144" s="3">
        <v>14832</v>
      </c>
      <c r="B144" s="3" t="s">
        <v>36</v>
      </c>
      <c r="C144" s="3" t="s">
        <v>39</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35">
      <c r="A145" s="3">
        <v>16614</v>
      </c>
      <c r="B145" s="3" t="s">
        <v>36</v>
      </c>
      <c r="C145" s="3" t="s">
        <v>38</v>
      </c>
      <c r="D145" s="5">
        <v>80000</v>
      </c>
      <c r="E145" s="3">
        <v>0</v>
      </c>
      <c r="F145" s="3" t="s">
        <v>13</v>
      </c>
      <c r="G145" s="3" t="s">
        <v>21</v>
      </c>
      <c r="H145" s="3" t="s">
        <v>15</v>
      </c>
      <c r="I145" s="3">
        <v>3</v>
      </c>
      <c r="J145" s="3" t="s">
        <v>46</v>
      </c>
      <c r="K145" s="3" t="s">
        <v>24</v>
      </c>
      <c r="L145" s="3">
        <v>32</v>
      </c>
      <c r="M145" s="3" t="str">
        <f t="shared" si="2"/>
        <v>Middle Age</v>
      </c>
      <c r="N145" s="3" t="s">
        <v>18</v>
      </c>
    </row>
    <row r="146" spans="1:14" x14ac:dyDescent="0.35">
      <c r="A146" s="3">
        <v>20877</v>
      </c>
      <c r="B146" s="3" t="s">
        <v>37</v>
      </c>
      <c r="C146" s="3" t="s">
        <v>39</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35">
      <c r="A147" s="3">
        <v>20729</v>
      </c>
      <c r="B147" s="3" t="s">
        <v>36</v>
      </c>
      <c r="C147" s="3" t="s">
        <v>38</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35">
      <c r="A148" s="3">
        <v>22464</v>
      </c>
      <c r="B148" s="3" t="s">
        <v>36</v>
      </c>
      <c r="C148" s="3" t="s">
        <v>39</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35">
      <c r="A149" s="3">
        <v>19475</v>
      </c>
      <c r="B149" s="3" t="s">
        <v>36</v>
      </c>
      <c r="C149" s="3" t="s">
        <v>38</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35">
      <c r="A150" s="3">
        <v>19675</v>
      </c>
      <c r="B150" s="3" t="s">
        <v>36</v>
      </c>
      <c r="C150" s="3" t="s">
        <v>39</v>
      </c>
      <c r="D150" s="5">
        <v>20000</v>
      </c>
      <c r="E150" s="3">
        <v>4</v>
      </c>
      <c r="F150" s="3" t="s">
        <v>27</v>
      </c>
      <c r="G150" s="3" t="s">
        <v>14</v>
      </c>
      <c r="H150" s="3" t="s">
        <v>15</v>
      </c>
      <c r="I150" s="3">
        <v>2</v>
      </c>
      <c r="J150" s="3" t="s">
        <v>23</v>
      </c>
      <c r="K150" s="3" t="s">
        <v>24</v>
      </c>
      <c r="L150" s="3">
        <v>60</v>
      </c>
      <c r="M150" s="3" t="str">
        <f t="shared" si="2"/>
        <v>Old</v>
      </c>
      <c r="N150" s="3" t="s">
        <v>18</v>
      </c>
    </row>
    <row r="151" spans="1:14" x14ac:dyDescent="0.35">
      <c r="A151" s="3">
        <v>12728</v>
      </c>
      <c r="B151" s="3" t="s">
        <v>37</v>
      </c>
      <c r="C151" s="3" t="s">
        <v>39</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35">
      <c r="A152" s="3">
        <v>26154</v>
      </c>
      <c r="B152" s="3" t="s">
        <v>36</v>
      </c>
      <c r="C152" s="3" t="s">
        <v>39</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35">
      <c r="A153" s="3">
        <v>29117</v>
      </c>
      <c r="B153" s="3" t="s">
        <v>37</v>
      </c>
      <c r="C153" s="3" t="s">
        <v>39</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35">
      <c r="A154" s="3">
        <v>17845</v>
      </c>
      <c r="B154" s="3" t="s">
        <v>37</v>
      </c>
      <c r="C154" s="3" t="s">
        <v>38</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35">
      <c r="A155" s="3">
        <v>25058</v>
      </c>
      <c r="B155" s="3" t="s">
        <v>36</v>
      </c>
      <c r="C155" s="3" t="s">
        <v>39</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35">
      <c r="A156" s="3">
        <v>23426</v>
      </c>
      <c r="B156" s="3" t="s">
        <v>37</v>
      </c>
      <c r="C156" s="3" t="s">
        <v>39</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35">
      <c r="A157" s="3">
        <v>14798</v>
      </c>
      <c r="B157" s="3" t="s">
        <v>37</v>
      </c>
      <c r="C157" s="3" t="s">
        <v>38</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35">
      <c r="A158" s="3">
        <v>12664</v>
      </c>
      <c r="B158" s="3" t="s">
        <v>36</v>
      </c>
      <c r="C158" s="3" t="s">
        <v>38</v>
      </c>
      <c r="D158" s="5">
        <v>130000</v>
      </c>
      <c r="E158" s="3">
        <v>5</v>
      </c>
      <c r="F158" s="3" t="s">
        <v>19</v>
      </c>
      <c r="G158" s="3" t="s">
        <v>21</v>
      </c>
      <c r="H158" s="3" t="s">
        <v>15</v>
      </c>
      <c r="I158" s="3">
        <v>4</v>
      </c>
      <c r="J158" s="3" t="s">
        <v>16</v>
      </c>
      <c r="K158" s="3" t="s">
        <v>17</v>
      </c>
      <c r="L158" s="3">
        <v>59</v>
      </c>
      <c r="M158" s="3" t="str">
        <f t="shared" si="2"/>
        <v>Old</v>
      </c>
      <c r="N158" s="3" t="s">
        <v>18</v>
      </c>
    </row>
    <row r="159" spans="1:14" x14ac:dyDescent="0.35">
      <c r="A159" s="3">
        <v>23979</v>
      </c>
      <c r="B159" s="3" t="s">
        <v>37</v>
      </c>
      <c r="C159" s="3" t="s">
        <v>39</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35">
      <c r="A160" s="3">
        <v>25605</v>
      </c>
      <c r="B160" s="3" t="s">
        <v>37</v>
      </c>
      <c r="C160" s="3" t="s">
        <v>38</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35">
      <c r="A161" s="3">
        <v>20797</v>
      </c>
      <c r="B161" s="3" t="s">
        <v>36</v>
      </c>
      <c r="C161" s="3" t="s">
        <v>38</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35">
      <c r="A162" s="3">
        <v>21980</v>
      </c>
      <c r="B162" s="3" t="s">
        <v>37</v>
      </c>
      <c r="C162" s="3" t="s">
        <v>38</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35">
      <c r="A163" s="3">
        <v>25460</v>
      </c>
      <c r="B163" s="3" t="s">
        <v>36</v>
      </c>
      <c r="C163" s="3" t="s">
        <v>38</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35">
      <c r="A164" s="3">
        <v>29181</v>
      </c>
      <c r="B164" s="3" t="s">
        <v>37</v>
      </c>
      <c r="C164" s="3" t="s">
        <v>38</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35">
      <c r="A165" s="3">
        <v>24279</v>
      </c>
      <c r="B165" s="3" t="s">
        <v>37</v>
      </c>
      <c r="C165" s="3" t="s">
        <v>39</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35">
      <c r="A166" s="3">
        <v>22402</v>
      </c>
      <c r="B166" s="3" t="s">
        <v>36</v>
      </c>
      <c r="C166" s="3" t="s">
        <v>39</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35">
      <c r="A167" s="3">
        <v>15465</v>
      </c>
      <c r="B167" s="3" t="s">
        <v>36</v>
      </c>
      <c r="C167" s="3" t="s">
        <v>38</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35">
      <c r="A168" s="3">
        <v>26757</v>
      </c>
      <c r="B168" s="3" t="s">
        <v>37</v>
      </c>
      <c r="C168" s="3" t="s">
        <v>39</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35">
      <c r="A169" s="3">
        <v>14233</v>
      </c>
      <c r="B169" s="3" t="s">
        <v>37</v>
      </c>
      <c r="C169" s="3" t="s">
        <v>39</v>
      </c>
      <c r="D169" s="5">
        <v>100000</v>
      </c>
      <c r="E169" s="3">
        <v>0</v>
      </c>
      <c r="F169" s="3" t="s">
        <v>27</v>
      </c>
      <c r="G169" s="3" t="s">
        <v>28</v>
      </c>
      <c r="H169" s="3" t="s">
        <v>15</v>
      </c>
      <c r="I169" s="3">
        <v>3</v>
      </c>
      <c r="J169" s="3" t="s">
        <v>46</v>
      </c>
      <c r="K169" s="3" t="s">
        <v>24</v>
      </c>
      <c r="L169" s="3">
        <v>35</v>
      </c>
      <c r="M169" s="3" t="str">
        <f t="shared" si="2"/>
        <v>Middle Age</v>
      </c>
      <c r="N169" s="3" t="s">
        <v>18</v>
      </c>
    </row>
    <row r="170" spans="1:14" x14ac:dyDescent="0.35">
      <c r="A170" s="3">
        <v>14058</v>
      </c>
      <c r="B170" s="3" t="s">
        <v>37</v>
      </c>
      <c r="C170" s="3" t="s">
        <v>39</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35">
      <c r="A171" s="3">
        <v>12273</v>
      </c>
      <c r="B171" s="3" t="s">
        <v>36</v>
      </c>
      <c r="C171" s="3" t="s">
        <v>39</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35">
      <c r="A172" s="3">
        <v>17203</v>
      </c>
      <c r="B172" s="3" t="s">
        <v>36</v>
      </c>
      <c r="C172" s="3" t="s">
        <v>38</v>
      </c>
      <c r="D172" s="5">
        <v>130000</v>
      </c>
      <c r="E172" s="3">
        <v>4</v>
      </c>
      <c r="F172" s="3" t="s">
        <v>19</v>
      </c>
      <c r="G172" s="3" t="s">
        <v>21</v>
      </c>
      <c r="H172" s="3" t="s">
        <v>15</v>
      </c>
      <c r="I172" s="3">
        <v>4</v>
      </c>
      <c r="J172" s="3" t="s">
        <v>23</v>
      </c>
      <c r="K172" s="3" t="s">
        <v>17</v>
      </c>
      <c r="L172" s="3">
        <v>61</v>
      </c>
      <c r="M172" s="3" t="str">
        <f t="shared" si="2"/>
        <v>Old</v>
      </c>
      <c r="N172" s="3" t="s">
        <v>15</v>
      </c>
    </row>
    <row r="173" spans="1:14" x14ac:dyDescent="0.35">
      <c r="A173" s="3">
        <v>18144</v>
      </c>
      <c r="B173" s="3" t="s">
        <v>36</v>
      </c>
      <c r="C173" s="3" t="s">
        <v>38</v>
      </c>
      <c r="D173" s="5">
        <v>80000</v>
      </c>
      <c r="E173" s="3">
        <v>5</v>
      </c>
      <c r="F173" s="3" t="s">
        <v>13</v>
      </c>
      <c r="G173" s="3" t="s">
        <v>28</v>
      </c>
      <c r="H173" s="3" t="s">
        <v>15</v>
      </c>
      <c r="I173" s="3">
        <v>2</v>
      </c>
      <c r="J173" s="3" t="s">
        <v>22</v>
      </c>
      <c r="K173" s="3" t="s">
        <v>17</v>
      </c>
      <c r="L173" s="3">
        <v>61</v>
      </c>
      <c r="M173" s="3" t="str">
        <f t="shared" si="2"/>
        <v>Old</v>
      </c>
      <c r="N173" s="3" t="s">
        <v>18</v>
      </c>
    </row>
    <row r="174" spans="1:14" x14ac:dyDescent="0.35">
      <c r="A174" s="3">
        <v>23963</v>
      </c>
      <c r="B174" s="3" t="s">
        <v>36</v>
      </c>
      <c r="C174" s="3" t="s">
        <v>39</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35">
      <c r="A175" s="3">
        <v>17907</v>
      </c>
      <c r="B175" s="3" t="s">
        <v>36</v>
      </c>
      <c r="C175" s="3" t="s">
        <v>38</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35">
      <c r="A176" s="3">
        <v>19442</v>
      </c>
      <c r="B176" s="3" t="s">
        <v>37</v>
      </c>
      <c r="C176" s="3" t="s">
        <v>39</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35">
      <c r="A177" s="3">
        <v>17504</v>
      </c>
      <c r="B177" s="3" t="s">
        <v>37</v>
      </c>
      <c r="C177" s="3" t="s">
        <v>38</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35">
      <c r="A178" s="3">
        <v>12253</v>
      </c>
      <c r="B178" s="3" t="s">
        <v>37</v>
      </c>
      <c r="C178" s="3" t="s">
        <v>38</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35">
      <c r="A179" s="3">
        <v>27304</v>
      </c>
      <c r="B179" s="3" t="s">
        <v>37</v>
      </c>
      <c r="C179" s="3" t="s">
        <v>38</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35">
      <c r="A180" s="3">
        <v>14191</v>
      </c>
      <c r="B180" s="3" t="s">
        <v>36</v>
      </c>
      <c r="C180" s="3" t="s">
        <v>39</v>
      </c>
      <c r="D180" s="5">
        <v>160000</v>
      </c>
      <c r="E180" s="3">
        <v>4</v>
      </c>
      <c r="F180" s="3" t="s">
        <v>19</v>
      </c>
      <c r="G180" s="3" t="s">
        <v>21</v>
      </c>
      <c r="H180" s="3" t="s">
        <v>18</v>
      </c>
      <c r="I180" s="3">
        <v>2</v>
      </c>
      <c r="J180" s="3" t="s">
        <v>46</v>
      </c>
      <c r="K180" s="3" t="s">
        <v>17</v>
      </c>
      <c r="L180" s="3">
        <v>55</v>
      </c>
      <c r="M180" s="3" t="str">
        <f t="shared" si="2"/>
        <v>Old</v>
      </c>
      <c r="N180" s="3" t="s">
        <v>15</v>
      </c>
    </row>
    <row r="181" spans="1:14" x14ac:dyDescent="0.35">
      <c r="A181" s="3">
        <v>12212</v>
      </c>
      <c r="B181" s="3" t="s">
        <v>36</v>
      </c>
      <c r="C181" s="3" t="s">
        <v>38</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35">
      <c r="A182" s="3">
        <v>25529</v>
      </c>
      <c r="B182" s="3" t="s">
        <v>37</v>
      </c>
      <c r="C182" s="3" t="s">
        <v>39</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35">
      <c r="A183" s="3">
        <v>22170</v>
      </c>
      <c r="B183" s="3" t="s">
        <v>36</v>
      </c>
      <c r="C183" s="3" t="s">
        <v>38</v>
      </c>
      <c r="D183" s="5">
        <v>30000</v>
      </c>
      <c r="E183" s="3">
        <v>3</v>
      </c>
      <c r="F183" s="3" t="s">
        <v>19</v>
      </c>
      <c r="G183" s="3" t="s">
        <v>20</v>
      </c>
      <c r="H183" s="3" t="s">
        <v>18</v>
      </c>
      <c r="I183" s="3">
        <v>2</v>
      </c>
      <c r="J183" s="3" t="s">
        <v>26</v>
      </c>
      <c r="K183" s="3" t="s">
        <v>24</v>
      </c>
      <c r="L183" s="3">
        <v>55</v>
      </c>
      <c r="M183" s="3" t="str">
        <f t="shared" si="2"/>
        <v>Old</v>
      </c>
      <c r="N183" s="3" t="s">
        <v>15</v>
      </c>
    </row>
    <row r="184" spans="1:14" x14ac:dyDescent="0.35">
      <c r="A184" s="3">
        <v>19445</v>
      </c>
      <c r="B184" s="3" t="s">
        <v>36</v>
      </c>
      <c r="C184" s="3" t="s">
        <v>38</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35">
      <c r="A185" s="3">
        <v>15265</v>
      </c>
      <c r="B185" s="3" t="s">
        <v>37</v>
      </c>
      <c r="C185" s="3" t="s">
        <v>39</v>
      </c>
      <c r="D185" s="5">
        <v>40000</v>
      </c>
      <c r="E185" s="3">
        <v>2</v>
      </c>
      <c r="F185" s="3" t="s">
        <v>13</v>
      </c>
      <c r="G185" s="3" t="s">
        <v>28</v>
      </c>
      <c r="H185" s="3" t="s">
        <v>15</v>
      </c>
      <c r="I185" s="3">
        <v>2</v>
      </c>
      <c r="J185" s="3" t="s">
        <v>23</v>
      </c>
      <c r="K185" s="3" t="s">
        <v>24</v>
      </c>
      <c r="L185" s="3">
        <v>66</v>
      </c>
      <c r="M185" s="3" t="str">
        <f t="shared" si="2"/>
        <v>Old</v>
      </c>
      <c r="N185" s="3" t="s">
        <v>15</v>
      </c>
    </row>
    <row r="186" spans="1:14" x14ac:dyDescent="0.35">
      <c r="A186" s="3">
        <v>28918</v>
      </c>
      <c r="B186" s="3" t="s">
        <v>36</v>
      </c>
      <c r="C186" s="3" t="s">
        <v>38</v>
      </c>
      <c r="D186" s="5">
        <v>130000</v>
      </c>
      <c r="E186" s="3">
        <v>4</v>
      </c>
      <c r="F186" s="3" t="s">
        <v>27</v>
      </c>
      <c r="G186" s="3" t="s">
        <v>28</v>
      </c>
      <c r="H186" s="3" t="s">
        <v>18</v>
      </c>
      <c r="I186" s="3">
        <v>4</v>
      </c>
      <c r="J186" s="3" t="s">
        <v>46</v>
      </c>
      <c r="K186" s="3" t="s">
        <v>17</v>
      </c>
      <c r="L186" s="3">
        <v>58</v>
      </c>
      <c r="M186" s="3" t="str">
        <f t="shared" si="2"/>
        <v>Old</v>
      </c>
      <c r="N186" s="3" t="s">
        <v>18</v>
      </c>
    </row>
    <row r="187" spans="1:14" x14ac:dyDescent="0.35">
      <c r="A187" s="3">
        <v>15799</v>
      </c>
      <c r="B187" s="3" t="s">
        <v>36</v>
      </c>
      <c r="C187" s="3" t="s">
        <v>38</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35">
      <c r="A188" s="3">
        <v>11047</v>
      </c>
      <c r="B188" s="3" t="s">
        <v>36</v>
      </c>
      <c r="C188" s="3" t="s">
        <v>38</v>
      </c>
      <c r="D188" s="5">
        <v>30000</v>
      </c>
      <c r="E188" s="3">
        <v>3</v>
      </c>
      <c r="F188" s="3" t="s">
        <v>27</v>
      </c>
      <c r="G188" s="3" t="s">
        <v>14</v>
      </c>
      <c r="H188" s="3" t="s">
        <v>18</v>
      </c>
      <c r="I188" s="3">
        <v>2</v>
      </c>
      <c r="J188" s="3" t="s">
        <v>26</v>
      </c>
      <c r="K188" s="3" t="s">
        <v>24</v>
      </c>
      <c r="L188" s="3">
        <v>56</v>
      </c>
      <c r="M188" s="3" t="str">
        <f t="shared" si="2"/>
        <v>Old</v>
      </c>
      <c r="N188" s="3" t="s">
        <v>15</v>
      </c>
    </row>
    <row r="189" spans="1:14" x14ac:dyDescent="0.35">
      <c r="A189" s="3">
        <v>18151</v>
      </c>
      <c r="B189" s="3" t="s">
        <v>37</v>
      </c>
      <c r="C189" s="3" t="s">
        <v>39</v>
      </c>
      <c r="D189" s="5">
        <v>80000</v>
      </c>
      <c r="E189" s="3">
        <v>5</v>
      </c>
      <c r="F189" s="3" t="s">
        <v>19</v>
      </c>
      <c r="G189" s="3" t="s">
        <v>21</v>
      </c>
      <c r="H189" s="3" t="s">
        <v>18</v>
      </c>
      <c r="I189" s="3">
        <v>2</v>
      </c>
      <c r="J189" s="3" t="s">
        <v>46</v>
      </c>
      <c r="K189" s="3" t="s">
        <v>17</v>
      </c>
      <c r="L189" s="3">
        <v>59</v>
      </c>
      <c r="M189" s="3" t="str">
        <f t="shared" si="2"/>
        <v>Old</v>
      </c>
      <c r="N189" s="3" t="s">
        <v>18</v>
      </c>
    </row>
    <row r="190" spans="1:14" x14ac:dyDescent="0.35">
      <c r="A190" s="3">
        <v>20606</v>
      </c>
      <c r="B190" s="3" t="s">
        <v>36</v>
      </c>
      <c r="C190" s="3" t="s">
        <v>38</v>
      </c>
      <c r="D190" s="5">
        <v>70000</v>
      </c>
      <c r="E190" s="3">
        <v>0</v>
      </c>
      <c r="F190" s="3" t="s">
        <v>13</v>
      </c>
      <c r="G190" s="3" t="s">
        <v>21</v>
      </c>
      <c r="H190" s="3" t="s">
        <v>15</v>
      </c>
      <c r="I190" s="3">
        <v>4</v>
      </c>
      <c r="J190" s="3" t="s">
        <v>46</v>
      </c>
      <c r="K190" s="3" t="s">
        <v>24</v>
      </c>
      <c r="L190" s="3">
        <v>32</v>
      </c>
      <c r="M190" s="3" t="str">
        <f t="shared" si="2"/>
        <v>Middle Age</v>
      </c>
      <c r="N190" s="3" t="s">
        <v>15</v>
      </c>
    </row>
    <row r="191" spans="1:14" x14ac:dyDescent="0.35">
      <c r="A191" s="3">
        <v>19482</v>
      </c>
      <c r="B191" s="3" t="s">
        <v>36</v>
      </c>
      <c r="C191" s="3" t="s">
        <v>39</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35">
      <c r="A192" s="3">
        <v>16489</v>
      </c>
      <c r="B192" s="3" t="s">
        <v>36</v>
      </c>
      <c r="C192" s="3" t="s">
        <v>39</v>
      </c>
      <c r="D192" s="5">
        <v>30000</v>
      </c>
      <c r="E192" s="3">
        <v>3</v>
      </c>
      <c r="F192" s="3" t="s">
        <v>27</v>
      </c>
      <c r="G192" s="3" t="s">
        <v>14</v>
      </c>
      <c r="H192" s="3" t="s">
        <v>15</v>
      </c>
      <c r="I192" s="3">
        <v>2</v>
      </c>
      <c r="J192" s="3" t="s">
        <v>23</v>
      </c>
      <c r="K192" s="3" t="s">
        <v>24</v>
      </c>
      <c r="L192" s="3">
        <v>55</v>
      </c>
      <c r="M192" s="3" t="str">
        <f t="shared" si="2"/>
        <v>Old</v>
      </c>
      <c r="N192" s="3" t="s">
        <v>18</v>
      </c>
    </row>
    <row r="193" spans="1:14" x14ac:dyDescent="0.35">
      <c r="A193" s="3">
        <v>26944</v>
      </c>
      <c r="B193" s="3" t="s">
        <v>37</v>
      </c>
      <c r="C193" s="3" t="s">
        <v>39</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35">
      <c r="A194" s="3">
        <v>15682</v>
      </c>
      <c r="B194" s="3" t="s">
        <v>37</v>
      </c>
      <c r="C194" s="3" t="s">
        <v>38</v>
      </c>
      <c r="D194" s="5">
        <v>80000</v>
      </c>
      <c r="E194" s="3">
        <v>5</v>
      </c>
      <c r="F194" s="3" t="s">
        <v>13</v>
      </c>
      <c r="G194" s="3" t="s">
        <v>28</v>
      </c>
      <c r="H194" s="3" t="s">
        <v>15</v>
      </c>
      <c r="I194" s="3">
        <v>2</v>
      </c>
      <c r="J194" s="3" t="s">
        <v>46</v>
      </c>
      <c r="K194" s="3" t="s">
        <v>17</v>
      </c>
      <c r="L194" s="3">
        <v>62</v>
      </c>
      <c r="M194" s="3" t="str">
        <f t="shared" si="2"/>
        <v>Old</v>
      </c>
      <c r="N194" s="3" t="s">
        <v>18</v>
      </c>
    </row>
    <row r="195" spans="1:14" x14ac:dyDescent="0.35">
      <c r="A195" s="3">
        <v>26032</v>
      </c>
      <c r="B195" s="3" t="s">
        <v>36</v>
      </c>
      <c r="C195" s="3" t="s">
        <v>38</v>
      </c>
      <c r="D195" s="5">
        <v>70000</v>
      </c>
      <c r="E195" s="3">
        <v>5</v>
      </c>
      <c r="F195" s="3" t="s">
        <v>13</v>
      </c>
      <c r="G195" s="3" t="s">
        <v>21</v>
      </c>
      <c r="H195" s="3" t="s">
        <v>15</v>
      </c>
      <c r="I195" s="3">
        <v>4</v>
      </c>
      <c r="J195" s="3" t="s">
        <v>46</v>
      </c>
      <c r="K195" s="3" t="s">
        <v>24</v>
      </c>
      <c r="L195" s="3">
        <v>41</v>
      </c>
      <c r="M195" s="3" t="str">
        <f t="shared" ref="M195:M258" si="3">IF(L195&gt;54,"Old",IF(L195&gt;=31,"Middle Age",IF(L195&lt;31,"Adolescent","Invalid")))</f>
        <v>Middle Age</v>
      </c>
      <c r="N195" s="3" t="s">
        <v>18</v>
      </c>
    </row>
    <row r="196" spans="1:14" x14ac:dyDescent="0.35">
      <c r="A196" s="3">
        <v>17843</v>
      </c>
      <c r="B196" s="3" t="s">
        <v>37</v>
      </c>
      <c r="C196" s="3" t="s">
        <v>38</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35">
      <c r="A197" s="3">
        <v>25559</v>
      </c>
      <c r="B197" s="3" t="s">
        <v>37</v>
      </c>
      <c r="C197" s="3" t="s">
        <v>39</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35">
      <c r="A198" s="3">
        <v>16209</v>
      </c>
      <c r="B198" s="3" t="s">
        <v>37</v>
      </c>
      <c r="C198" s="3" t="s">
        <v>38</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35">
      <c r="A199" s="3">
        <v>11147</v>
      </c>
      <c r="B199" s="3" t="s">
        <v>36</v>
      </c>
      <c r="C199" s="3" t="s">
        <v>39</v>
      </c>
      <c r="D199" s="5">
        <v>60000</v>
      </c>
      <c r="E199" s="3">
        <v>2</v>
      </c>
      <c r="F199" s="3" t="s">
        <v>31</v>
      </c>
      <c r="G199" s="3" t="s">
        <v>28</v>
      </c>
      <c r="H199" s="3" t="s">
        <v>15</v>
      </c>
      <c r="I199" s="3">
        <v>1</v>
      </c>
      <c r="J199" s="3" t="s">
        <v>16</v>
      </c>
      <c r="K199" s="3" t="s">
        <v>24</v>
      </c>
      <c r="L199" s="3">
        <v>67</v>
      </c>
      <c r="M199" s="3" t="str">
        <f t="shared" si="3"/>
        <v>Old</v>
      </c>
      <c r="N199" s="3" t="s">
        <v>15</v>
      </c>
    </row>
    <row r="200" spans="1:14" x14ac:dyDescent="0.35">
      <c r="A200" s="3">
        <v>15214</v>
      </c>
      <c r="B200" s="3" t="s">
        <v>37</v>
      </c>
      <c r="C200" s="3" t="s">
        <v>38</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35">
      <c r="A201" s="3">
        <v>11453</v>
      </c>
      <c r="B201" s="3" t="s">
        <v>37</v>
      </c>
      <c r="C201" s="3" t="s">
        <v>39</v>
      </c>
      <c r="D201" s="5">
        <v>80000</v>
      </c>
      <c r="E201" s="3">
        <v>0</v>
      </c>
      <c r="F201" s="3" t="s">
        <v>13</v>
      </c>
      <c r="G201" s="3" t="s">
        <v>21</v>
      </c>
      <c r="H201" s="3" t="s">
        <v>18</v>
      </c>
      <c r="I201" s="3">
        <v>3</v>
      </c>
      <c r="J201" s="3" t="s">
        <v>46</v>
      </c>
      <c r="K201" s="3" t="s">
        <v>24</v>
      </c>
      <c r="L201" s="3">
        <v>33</v>
      </c>
      <c r="M201" s="3" t="str">
        <f t="shared" si="3"/>
        <v>Middle Age</v>
      </c>
      <c r="N201" s="3" t="s">
        <v>15</v>
      </c>
    </row>
    <row r="202" spans="1:14" x14ac:dyDescent="0.35">
      <c r="A202" s="3">
        <v>24584</v>
      </c>
      <c r="B202" s="3" t="s">
        <v>37</v>
      </c>
      <c r="C202" s="3" t="s">
        <v>39</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35">
      <c r="A203" s="3">
        <v>12585</v>
      </c>
      <c r="B203" s="3" t="s">
        <v>36</v>
      </c>
      <c r="C203" s="3" t="s">
        <v>39</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35">
      <c r="A204" s="3">
        <v>18626</v>
      </c>
      <c r="B204" s="3" t="s">
        <v>37</v>
      </c>
      <c r="C204" s="3" t="s">
        <v>39</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35">
      <c r="A205" s="3">
        <v>29298</v>
      </c>
      <c r="B205" s="3" t="s">
        <v>37</v>
      </c>
      <c r="C205" s="3" t="s">
        <v>38</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35">
      <c r="A206" s="3">
        <v>24842</v>
      </c>
      <c r="B206" s="3" t="s">
        <v>37</v>
      </c>
      <c r="C206" s="3" t="s">
        <v>38</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35">
      <c r="A207" s="3">
        <v>15657</v>
      </c>
      <c r="B207" s="3" t="s">
        <v>36</v>
      </c>
      <c r="C207" s="3" t="s">
        <v>39</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35">
      <c r="A208" s="3">
        <v>11415</v>
      </c>
      <c r="B208" s="3" t="s">
        <v>37</v>
      </c>
      <c r="C208" s="3" t="s">
        <v>39</v>
      </c>
      <c r="D208" s="5">
        <v>90000</v>
      </c>
      <c r="E208" s="3">
        <v>5</v>
      </c>
      <c r="F208" s="3" t="s">
        <v>19</v>
      </c>
      <c r="G208" s="3" t="s">
        <v>21</v>
      </c>
      <c r="H208" s="3" t="s">
        <v>18</v>
      </c>
      <c r="I208" s="3">
        <v>2</v>
      </c>
      <c r="J208" s="3" t="s">
        <v>46</v>
      </c>
      <c r="K208" s="3" t="s">
        <v>17</v>
      </c>
      <c r="L208" s="3">
        <v>62</v>
      </c>
      <c r="M208" s="3" t="str">
        <f t="shared" si="3"/>
        <v>Old</v>
      </c>
      <c r="N208" s="3" t="s">
        <v>18</v>
      </c>
    </row>
    <row r="209" spans="1:14" x14ac:dyDescent="0.35">
      <c r="A209" s="3">
        <v>28729</v>
      </c>
      <c r="B209" s="3" t="s">
        <v>37</v>
      </c>
      <c r="C209" s="3" t="s">
        <v>38</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35">
      <c r="A210" s="3">
        <v>22633</v>
      </c>
      <c r="B210" s="3" t="s">
        <v>37</v>
      </c>
      <c r="C210" s="3" t="s">
        <v>38</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35">
      <c r="A211" s="3">
        <v>25649</v>
      </c>
      <c r="B211" s="3" t="s">
        <v>37</v>
      </c>
      <c r="C211" s="3" t="s">
        <v>38</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35">
      <c r="A212" s="3">
        <v>14669</v>
      </c>
      <c r="B212" s="3" t="s">
        <v>36</v>
      </c>
      <c r="C212" s="3" t="s">
        <v>38</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35">
      <c r="A213" s="3">
        <v>19299</v>
      </c>
      <c r="B213" s="3" t="s">
        <v>36</v>
      </c>
      <c r="C213" s="3" t="s">
        <v>38</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35">
      <c r="A214" s="3">
        <v>20946</v>
      </c>
      <c r="B214" s="3" t="s">
        <v>37</v>
      </c>
      <c r="C214" s="3" t="s">
        <v>38</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35">
      <c r="A215" s="3">
        <v>11451</v>
      </c>
      <c r="B215" s="3" t="s">
        <v>37</v>
      </c>
      <c r="C215" s="3" t="s">
        <v>39</v>
      </c>
      <c r="D215" s="5">
        <v>70000</v>
      </c>
      <c r="E215" s="3">
        <v>0</v>
      </c>
      <c r="F215" s="3" t="s">
        <v>13</v>
      </c>
      <c r="G215" s="3" t="s">
        <v>21</v>
      </c>
      <c r="H215" s="3" t="s">
        <v>18</v>
      </c>
      <c r="I215" s="3">
        <v>4</v>
      </c>
      <c r="J215" s="3" t="s">
        <v>46</v>
      </c>
      <c r="K215" s="3" t="s">
        <v>24</v>
      </c>
      <c r="L215" s="3">
        <v>31</v>
      </c>
      <c r="M215" s="3" t="str">
        <f t="shared" si="3"/>
        <v>Middle Age</v>
      </c>
      <c r="N215" s="3" t="s">
        <v>15</v>
      </c>
    </row>
    <row r="216" spans="1:14" x14ac:dyDescent="0.35">
      <c r="A216" s="3">
        <v>25553</v>
      </c>
      <c r="B216" s="3" t="s">
        <v>36</v>
      </c>
      <c r="C216" s="3" t="s">
        <v>39</v>
      </c>
      <c r="D216" s="5">
        <v>30000</v>
      </c>
      <c r="E216" s="3">
        <v>1</v>
      </c>
      <c r="F216" s="3" t="s">
        <v>13</v>
      </c>
      <c r="G216" s="3" t="s">
        <v>20</v>
      </c>
      <c r="H216" s="3" t="s">
        <v>15</v>
      </c>
      <c r="I216" s="3">
        <v>0</v>
      </c>
      <c r="J216" s="3" t="s">
        <v>16</v>
      </c>
      <c r="K216" s="3" t="s">
        <v>17</v>
      </c>
      <c r="L216" s="3">
        <v>65</v>
      </c>
      <c r="M216" s="3" t="str">
        <f t="shared" si="3"/>
        <v>Old</v>
      </c>
      <c r="N216" s="3" t="s">
        <v>15</v>
      </c>
    </row>
    <row r="217" spans="1:14" x14ac:dyDescent="0.35">
      <c r="A217" s="3">
        <v>27951</v>
      </c>
      <c r="B217" s="3" t="s">
        <v>37</v>
      </c>
      <c r="C217" s="3" t="s">
        <v>39</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35">
      <c r="A218" s="3">
        <v>25026</v>
      </c>
      <c r="B218" s="3" t="s">
        <v>36</v>
      </c>
      <c r="C218" s="3" t="s">
        <v>39</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35">
      <c r="A219" s="3">
        <v>13673</v>
      </c>
      <c r="B219" s="3" t="s">
        <v>37</v>
      </c>
      <c r="C219" s="3" t="s">
        <v>38</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35">
      <c r="A220" s="3">
        <v>16043</v>
      </c>
      <c r="B220" s="3" t="s">
        <v>37</v>
      </c>
      <c r="C220" s="3" t="s">
        <v>39</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35">
      <c r="A221" s="3">
        <v>22399</v>
      </c>
      <c r="B221" s="3" t="s">
        <v>37</v>
      </c>
      <c r="C221" s="3" t="s">
        <v>39</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35">
      <c r="A222" s="3">
        <v>27696</v>
      </c>
      <c r="B222" s="3" t="s">
        <v>36</v>
      </c>
      <c r="C222" s="3" t="s">
        <v>39</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35">
      <c r="A223" s="3">
        <v>25313</v>
      </c>
      <c r="B223" s="3" t="s">
        <v>37</v>
      </c>
      <c r="C223" s="3" t="s">
        <v>39</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35">
      <c r="A224" s="3">
        <v>13813</v>
      </c>
      <c r="B224" s="3" t="s">
        <v>36</v>
      </c>
      <c r="C224" s="3" t="s">
        <v>38</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35">
      <c r="A225" s="3">
        <v>18711</v>
      </c>
      <c r="B225" s="3" t="s">
        <v>37</v>
      </c>
      <c r="C225" s="3" t="s">
        <v>38</v>
      </c>
      <c r="D225" s="5">
        <v>70000</v>
      </c>
      <c r="E225" s="3">
        <v>5</v>
      </c>
      <c r="F225" s="3" t="s">
        <v>13</v>
      </c>
      <c r="G225" s="3" t="s">
        <v>21</v>
      </c>
      <c r="H225" s="3" t="s">
        <v>15</v>
      </c>
      <c r="I225" s="3">
        <v>4</v>
      </c>
      <c r="J225" s="3" t="s">
        <v>46</v>
      </c>
      <c r="K225" s="3" t="s">
        <v>24</v>
      </c>
      <c r="L225" s="3">
        <v>39</v>
      </c>
      <c r="M225" s="3" t="str">
        <f t="shared" si="3"/>
        <v>Middle Age</v>
      </c>
      <c r="N225" s="3" t="s">
        <v>18</v>
      </c>
    </row>
    <row r="226" spans="1:14" x14ac:dyDescent="0.35">
      <c r="A226" s="3">
        <v>19650</v>
      </c>
      <c r="B226" s="3" t="s">
        <v>36</v>
      </c>
      <c r="C226" s="3" t="s">
        <v>38</v>
      </c>
      <c r="D226" s="5">
        <v>30000</v>
      </c>
      <c r="E226" s="3">
        <v>2</v>
      </c>
      <c r="F226" s="3" t="s">
        <v>19</v>
      </c>
      <c r="G226" s="3" t="s">
        <v>20</v>
      </c>
      <c r="H226" s="3" t="s">
        <v>18</v>
      </c>
      <c r="I226" s="3">
        <v>2</v>
      </c>
      <c r="J226" s="3" t="s">
        <v>16</v>
      </c>
      <c r="K226" s="3" t="s">
        <v>24</v>
      </c>
      <c r="L226" s="3">
        <v>67</v>
      </c>
      <c r="M226" s="3" t="str">
        <f t="shared" si="3"/>
        <v>Old</v>
      </c>
      <c r="N226" s="3" t="s">
        <v>18</v>
      </c>
    </row>
    <row r="227" spans="1:14" x14ac:dyDescent="0.35">
      <c r="A227" s="3">
        <v>14135</v>
      </c>
      <c r="B227" s="3" t="s">
        <v>36</v>
      </c>
      <c r="C227" s="3" t="s">
        <v>39</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35">
      <c r="A228" s="3">
        <v>12833</v>
      </c>
      <c r="B228" s="3" t="s">
        <v>37</v>
      </c>
      <c r="C228" s="3" t="s">
        <v>38</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35">
      <c r="A229" s="3">
        <v>26849</v>
      </c>
      <c r="B229" s="3" t="s">
        <v>36</v>
      </c>
      <c r="C229" s="3" t="s">
        <v>39</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35">
      <c r="A230" s="3">
        <v>20962</v>
      </c>
      <c r="B230" s="3" t="s">
        <v>36</v>
      </c>
      <c r="C230" s="3" t="s">
        <v>38</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35">
      <c r="A231" s="3">
        <v>28915</v>
      </c>
      <c r="B231" s="3" t="s">
        <v>37</v>
      </c>
      <c r="C231" s="3" t="s">
        <v>39</v>
      </c>
      <c r="D231" s="5">
        <v>80000</v>
      </c>
      <c r="E231" s="3">
        <v>5</v>
      </c>
      <c r="F231" s="3" t="s">
        <v>27</v>
      </c>
      <c r="G231" s="3" t="s">
        <v>28</v>
      </c>
      <c r="H231" s="3" t="s">
        <v>15</v>
      </c>
      <c r="I231" s="3">
        <v>3</v>
      </c>
      <c r="J231" s="3" t="s">
        <v>46</v>
      </c>
      <c r="K231" s="3" t="s">
        <v>17</v>
      </c>
      <c r="L231" s="3">
        <v>57</v>
      </c>
      <c r="M231" s="3" t="str">
        <f t="shared" si="3"/>
        <v>Old</v>
      </c>
      <c r="N231" s="3" t="s">
        <v>18</v>
      </c>
    </row>
    <row r="232" spans="1:14" x14ac:dyDescent="0.35">
      <c r="A232" s="3">
        <v>22830</v>
      </c>
      <c r="B232" s="3" t="s">
        <v>36</v>
      </c>
      <c r="C232" s="3" t="s">
        <v>39</v>
      </c>
      <c r="D232" s="5">
        <v>120000</v>
      </c>
      <c r="E232" s="3">
        <v>4</v>
      </c>
      <c r="F232" s="3" t="s">
        <v>19</v>
      </c>
      <c r="G232" s="3" t="s">
        <v>28</v>
      </c>
      <c r="H232" s="3" t="s">
        <v>15</v>
      </c>
      <c r="I232" s="3">
        <v>3</v>
      </c>
      <c r="J232" s="3" t="s">
        <v>46</v>
      </c>
      <c r="K232" s="3" t="s">
        <v>17</v>
      </c>
      <c r="L232" s="3">
        <v>56</v>
      </c>
      <c r="M232" s="3" t="str">
        <f t="shared" si="3"/>
        <v>Old</v>
      </c>
      <c r="N232" s="3" t="s">
        <v>18</v>
      </c>
    </row>
    <row r="233" spans="1:14" x14ac:dyDescent="0.35">
      <c r="A233" s="3">
        <v>14777</v>
      </c>
      <c r="B233" s="3" t="s">
        <v>36</v>
      </c>
      <c r="C233" s="3" t="s">
        <v>38</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35">
      <c r="A234" s="3">
        <v>12591</v>
      </c>
      <c r="B234" s="3" t="s">
        <v>36</v>
      </c>
      <c r="C234" s="3" t="s">
        <v>38</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35">
      <c r="A235" s="3">
        <v>24174</v>
      </c>
      <c r="B235" s="3" t="s">
        <v>36</v>
      </c>
      <c r="C235" s="3" t="s">
        <v>39</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35">
      <c r="A236" s="3">
        <v>24611</v>
      </c>
      <c r="B236" s="3" t="s">
        <v>37</v>
      </c>
      <c r="C236" s="3" t="s">
        <v>39</v>
      </c>
      <c r="D236" s="5">
        <v>90000</v>
      </c>
      <c r="E236" s="3">
        <v>0</v>
      </c>
      <c r="F236" s="3" t="s">
        <v>13</v>
      </c>
      <c r="G236" s="3" t="s">
        <v>21</v>
      </c>
      <c r="H236" s="3" t="s">
        <v>18</v>
      </c>
      <c r="I236" s="3">
        <v>4</v>
      </c>
      <c r="J236" s="3" t="s">
        <v>46</v>
      </c>
      <c r="K236" s="3" t="s">
        <v>24</v>
      </c>
      <c r="L236" s="3">
        <v>35</v>
      </c>
      <c r="M236" s="3" t="str">
        <f t="shared" si="3"/>
        <v>Middle Age</v>
      </c>
      <c r="N236" s="3" t="s">
        <v>15</v>
      </c>
    </row>
    <row r="237" spans="1:14" x14ac:dyDescent="0.35">
      <c r="A237" s="3">
        <v>11340</v>
      </c>
      <c r="B237" s="3" t="s">
        <v>36</v>
      </c>
      <c r="C237" s="3" t="s">
        <v>38</v>
      </c>
      <c r="D237" s="5">
        <v>10000</v>
      </c>
      <c r="E237" s="3">
        <v>1</v>
      </c>
      <c r="F237" s="3" t="s">
        <v>31</v>
      </c>
      <c r="G237" s="3" t="s">
        <v>20</v>
      </c>
      <c r="H237" s="3" t="s">
        <v>15</v>
      </c>
      <c r="I237" s="3">
        <v>0</v>
      </c>
      <c r="J237" s="3" t="s">
        <v>16</v>
      </c>
      <c r="K237" s="3" t="s">
        <v>17</v>
      </c>
      <c r="L237" s="3">
        <v>70</v>
      </c>
      <c r="M237" s="3" t="str">
        <f t="shared" si="3"/>
        <v>Old</v>
      </c>
      <c r="N237" s="3" t="s">
        <v>15</v>
      </c>
    </row>
    <row r="238" spans="1:14" x14ac:dyDescent="0.35">
      <c r="A238" s="3">
        <v>25693</v>
      </c>
      <c r="B238" s="3" t="s">
        <v>37</v>
      </c>
      <c r="C238" s="3" t="s">
        <v>38</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35">
      <c r="A239" s="3">
        <v>25555</v>
      </c>
      <c r="B239" s="3" t="s">
        <v>36</v>
      </c>
      <c r="C239" s="3" t="s">
        <v>38</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35">
      <c r="A240" s="3">
        <v>22006</v>
      </c>
      <c r="B240" s="3" t="s">
        <v>36</v>
      </c>
      <c r="C240" s="3" t="s">
        <v>39</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35">
      <c r="A241" s="3">
        <v>20060</v>
      </c>
      <c r="B241" s="3" t="s">
        <v>37</v>
      </c>
      <c r="C241" s="3" t="s">
        <v>38</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35">
      <c r="A242" s="3">
        <v>17702</v>
      </c>
      <c r="B242" s="3" t="s">
        <v>36</v>
      </c>
      <c r="C242" s="3" t="s">
        <v>39</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35">
      <c r="A243" s="3">
        <v>12503</v>
      </c>
      <c r="B243" s="3" t="s">
        <v>37</v>
      </c>
      <c r="C243" s="3" t="s">
        <v>38</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35">
      <c r="A244" s="3">
        <v>23908</v>
      </c>
      <c r="B244" s="3" t="s">
        <v>37</v>
      </c>
      <c r="C244" s="3" t="s">
        <v>39</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35">
      <c r="A245" s="3">
        <v>22527</v>
      </c>
      <c r="B245" s="3" t="s">
        <v>37</v>
      </c>
      <c r="C245" s="3" t="s">
        <v>38</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35">
      <c r="A246" s="3">
        <v>19057</v>
      </c>
      <c r="B246" s="3" t="s">
        <v>36</v>
      </c>
      <c r="C246" s="3" t="s">
        <v>38</v>
      </c>
      <c r="D246" s="5">
        <v>120000</v>
      </c>
      <c r="E246" s="3">
        <v>3</v>
      </c>
      <c r="F246" s="3" t="s">
        <v>13</v>
      </c>
      <c r="G246" s="3" t="s">
        <v>28</v>
      </c>
      <c r="H246" s="3" t="s">
        <v>18</v>
      </c>
      <c r="I246" s="3">
        <v>2</v>
      </c>
      <c r="J246" s="3" t="s">
        <v>46</v>
      </c>
      <c r="K246" s="3" t="s">
        <v>17</v>
      </c>
      <c r="L246" s="3">
        <v>52</v>
      </c>
      <c r="M246" s="3" t="str">
        <f t="shared" si="3"/>
        <v>Middle Age</v>
      </c>
      <c r="N246" s="3" t="s">
        <v>15</v>
      </c>
    </row>
    <row r="247" spans="1:14" x14ac:dyDescent="0.35">
      <c r="A247" s="3">
        <v>18494</v>
      </c>
      <c r="B247" s="3" t="s">
        <v>36</v>
      </c>
      <c r="C247" s="3" t="s">
        <v>39</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35">
      <c r="A248" s="3">
        <v>11249</v>
      </c>
      <c r="B248" s="3" t="s">
        <v>36</v>
      </c>
      <c r="C248" s="3" t="s">
        <v>38</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35">
      <c r="A249" s="3">
        <v>21568</v>
      </c>
      <c r="B249" s="3" t="s">
        <v>36</v>
      </c>
      <c r="C249" s="3" t="s">
        <v>38</v>
      </c>
      <c r="D249" s="5">
        <v>100000</v>
      </c>
      <c r="E249" s="3">
        <v>0</v>
      </c>
      <c r="F249" s="3" t="s">
        <v>27</v>
      </c>
      <c r="G249" s="3" t="s">
        <v>28</v>
      </c>
      <c r="H249" s="3" t="s">
        <v>15</v>
      </c>
      <c r="I249" s="3">
        <v>4</v>
      </c>
      <c r="J249" s="3" t="s">
        <v>46</v>
      </c>
      <c r="K249" s="3" t="s">
        <v>24</v>
      </c>
      <c r="L249" s="3">
        <v>34</v>
      </c>
      <c r="M249" s="3" t="str">
        <f t="shared" si="3"/>
        <v>Middle Age</v>
      </c>
      <c r="N249" s="3" t="s">
        <v>15</v>
      </c>
    </row>
    <row r="250" spans="1:14" x14ac:dyDescent="0.35">
      <c r="A250" s="3">
        <v>13981</v>
      </c>
      <c r="B250" s="3" t="s">
        <v>36</v>
      </c>
      <c r="C250" s="3" t="s">
        <v>38</v>
      </c>
      <c r="D250" s="5">
        <v>10000</v>
      </c>
      <c r="E250" s="3">
        <v>5</v>
      </c>
      <c r="F250" s="3" t="s">
        <v>27</v>
      </c>
      <c r="G250" s="3" t="s">
        <v>14</v>
      </c>
      <c r="H250" s="3" t="s">
        <v>18</v>
      </c>
      <c r="I250" s="3">
        <v>3</v>
      </c>
      <c r="J250" s="3" t="s">
        <v>26</v>
      </c>
      <c r="K250" s="3" t="s">
        <v>24</v>
      </c>
      <c r="L250" s="3">
        <v>62</v>
      </c>
      <c r="M250" s="3" t="str">
        <f t="shared" si="3"/>
        <v>Old</v>
      </c>
      <c r="N250" s="3" t="s">
        <v>18</v>
      </c>
    </row>
    <row r="251" spans="1:14" x14ac:dyDescent="0.35">
      <c r="A251" s="3">
        <v>23432</v>
      </c>
      <c r="B251" s="3" t="s">
        <v>37</v>
      </c>
      <c r="C251" s="3" t="s">
        <v>39</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35">
      <c r="A252" s="3">
        <v>22931</v>
      </c>
      <c r="B252" s="3" t="s">
        <v>36</v>
      </c>
      <c r="C252" s="3" t="s">
        <v>39</v>
      </c>
      <c r="D252" s="5">
        <v>100000</v>
      </c>
      <c r="E252" s="3">
        <v>5</v>
      </c>
      <c r="F252" s="3" t="s">
        <v>31</v>
      </c>
      <c r="G252" s="3" t="s">
        <v>28</v>
      </c>
      <c r="H252" s="3" t="s">
        <v>18</v>
      </c>
      <c r="I252" s="3">
        <v>1</v>
      </c>
      <c r="J252" s="3" t="s">
        <v>26</v>
      </c>
      <c r="K252" s="3" t="s">
        <v>24</v>
      </c>
      <c r="L252" s="3">
        <v>78</v>
      </c>
      <c r="M252" s="3" t="str">
        <f t="shared" si="3"/>
        <v>Old</v>
      </c>
      <c r="N252" s="3" t="s">
        <v>15</v>
      </c>
    </row>
    <row r="253" spans="1:14" x14ac:dyDescent="0.35">
      <c r="A253" s="3">
        <v>18172</v>
      </c>
      <c r="B253" s="3" t="s">
        <v>36</v>
      </c>
      <c r="C253" s="3" t="s">
        <v>39</v>
      </c>
      <c r="D253" s="5">
        <v>130000</v>
      </c>
      <c r="E253" s="3">
        <v>4</v>
      </c>
      <c r="F253" s="3" t="s">
        <v>27</v>
      </c>
      <c r="G253" s="3" t="s">
        <v>21</v>
      </c>
      <c r="H253" s="3" t="s">
        <v>15</v>
      </c>
      <c r="I253" s="3">
        <v>3</v>
      </c>
      <c r="J253" s="3" t="s">
        <v>16</v>
      </c>
      <c r="K253" s="3" t="s">
        <v>17</v>
      </c>
      <c r="L253" s="3">
        <v>55</v>
      </c>
      <c r="M253" s="3" t="str">
        <f t="shared" si="3"/>
        <v>Old</v>
      </c>
      <c r="N253" s="3" t="s">
        <v>18</v>
      </c>
    </row>
    <row r="254" spans="1:14" x14ac:dyDescent="0.35">
      <c r="A254" s="3">
        <v>12666</v>
      </c>
      <c r="B254" s="3" t="s">
        <v>37</v>
      </c>
      <c r="C254" s="3" t="s">
        <v>39</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35">
      <c r="A255" s="3">
        <v>20598</v>
      </c>
      <c r="B255" s="3" t="s">
        <v>36</v>
      </c>
      <c r="C255" s="3" t="s">
        <v>39</v>
      </c>
      <c r="D255" s="5">
        <v>100000</v>
      </c>
      <c r="E255" s="3">
        <v>3</v>
      </c>
      <c r="F255" s="3" t="s">
        <v>29</v>
      </c>
      <c r="G255" s="3" t="s">
        <v>21</v>
      </c>
      <c r="H255" s="3" t="s">
        <v>15</v>
      </c>
      <c r="I255" s="3">
        <v>0</v>
      </c>
      <c r="J255" s="3" t="s">
        <v>46</v>
      </c>
      <c r="K255" s="3" t="s">
        <v>17</v>
      </c>
      <c r="L255" s="3">
        <v>59</v>
      </c>
      <c r="M255" s="3" t="str">
        <f t="shared" si="3"/>
        <v>Old</v>
      </c>
      <c r="N255" s="3" t="s">
        <v>15</v>
      </c>
    </row>
    <row r="256" spans="1:14" x14ac:dyDescent="0.35">
      <c r="A256" s="3">
        <v>21375</v>
      </c>
      <c r="B256" s="3" t="s">
        <v>37</v>
      </c>
      <c r="C256" s="3" t="s">
        <v>39</v>
      </c>
      <c r="D256" s="5">
        <v>20000</v>
      </c>
      <c r="E256" s="3">
        <v>2</v>
      </c>
      <c r="F256" s="3" t="s">
        <v>29</v>
      </c>
      <c r="G256" s="3" t="s">
        <v>20</v>
      </c>
      <c r="H256" s="3" t="s">
        <v>15</v>
      </c>
      <c r="I256" s="3">
        <v>2</v>
      </c>
      <c r="J256" s="3" t="s">
        <v>23</v>
      </c>
      <c r="K256" s="3" t="s">
        <v>24</v>
      </c>
      <c r="L256" s="3">
        <v>57</v>
      </c>
      <c r="M256" s="3" t="str">
        <f t="shared" si="3"/>
        <v>Old</v>
      </c>
      <c r="N256" s="3" t="s">
        <v>18</v>
      </c>
    </row>
    <row r="257" spans="1:14" x14ac:dyDescent="0.35">
      <c r="A257" s="3">
        <v>20839</v>
      </c>
      <c r="B257" s="3" t="s">
        <v>37</v>
      </c>
      <c r="C257" s="3" t="s">
        <v>38</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35">
      <c r="A258" s="3">
        <v>21738</v>
      </c>
      <c r="B258" s="3" t="s">
        <v>36</v>
      </c>
      <c r="C258" s="3" t="s">
        <v>39</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35">
      <c r="A259" s="3">
        <v>14164</v>
      </c>
      <c r="B259" s="3" t="s">
        <v>37</v>
      </c>
      <c r="C259" s="3" t="s">
        <v>38</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35">
      <c r="A260" s="3">
        <v>14193</v>
      </c>
      <c r="B260" s="3" t="s">
        <v>37</v>
      </c>
      <c r="C260" s="3" t="s">
        <v>38</v>
      </c>
      <c r="D260" s="5">
        <v>100000</v>
      </c>
      <c r="E260" s="3">
        <v>3</v>
      </c>
      <c r="F260" s="3" t="s">
        <v>19</v>
      </c>
      <c r="G260" s="3" t="s">
        <v>28</v>
      </c>
      <c r="H260" s="3" t="s">
        <v>15</v>
      </c>
      <c r="I260" s="3">
        <v>4</v>
      </c>
      <c r="J260" s="3" t="s">
        <v>46</v>
      </c>
      <c r="K260" s="3" t="s">
        <v>17</v>
      </c>
      <c r="L260" s="3">
        <v>56</v>
      </c>
      <c r="M260" s="3" t="str">
        <f t="shared" si="4"/>
        <v>Old</v>
      </c>
      <c r="N260" s="3" t="s">
        <v>18</v>
      </c>
    </row>
    <row r="261" spans="1:14" x14ac:dyDescent="0.35">
      <c r="A261" s="3">
        <v>12705</v>
      </c>
      <c r="B261" s="3" t="s">
        <v>36</v>
      </c>
      <c r="C261" s="3" t="s">
        <v>39</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35">
      <c r="A262" s="3">
        <v>22672</v>
      </c>
      <c r="B262" s="3" t="s">
        <v>37</v>
      </c>
      <c r="C262" s="3" t="s">
        <v>38</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35">
      <c r="A263" s="3">
        <v>26219</v>
      </c>
      <c r="B263" s="3" t="s">
        <v>36</v>
      </c>
      <c r="C263" s="3" t="s">
        <v>38</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35">
      <c r="A264" s="3">
        <v>28468</v>
      </c>
      <c r="B264" s="3" t="s">
        <v>36</v>
      </c>
      <c r="C264" s="3" t="s">
        <v>38</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35">
      <c r="A265" s="3">
        <v>23419</v>
      </c>
      <c r="B265" s="3" t="s">
        <v>37</v>
      </c>
      <c r="C265" s="3" t="s">
        <v>38</v>
      </c>
      <c r="D265" s="5">
        <v>70000</v>
      </c>
      <c r="E265" s="3">
        <v>5</v>
      </c>
      <c r="F265" s="3" t="s">
        <v>13</v>
      </c>
      <c r="G265" s="3" t="s">
        <v>21</v>
      </c>
      <c r="H265" s="3" t="s">
        <v>15</v>
      </c>
      <c r="I265" s="3">
        <v>3</v>
      </c>
      <c r="J265" s="3" t="s">
        <v>46</v>
      </c>
      <c r="K265" s="3" t="s">
        <v>24</v>
      </c>
      <c r="L265" s="3">
        <v>39</v>
      </c>
      <c r="M265" s="3" t="str">
        <f t="shared" si="4"/>
        <v>Middle Age</v>
      </c>
      <c r="N265" s="3" t="s">
        <v>18</v>
      </c>
    </row>
    <row r="266" spans="1:14" x14ac:dyDescent="0.35">
      <c r="A266" s="3">
        <v>17964</v>
      </c>
      <c r="B266" s="3" t="s">
        <v>36</v>
      </c>
      <c r="C266" s="3" t="s">
        <v>39</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35">
      <c r="A267" s="3">
        <v>20919</v>
      </c>
      <c r="B267" s="3" t="s">
        <v>37</v>
      </c>
      <c r="C267" s="3" t="s">
        <v>38</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35">
      <c r="A268" s="3">
        <v>20927</v>
      </c>
      <c r="B268" s="3" t="s">
        <v>37</v>
      </c>
      <c r="C268" s="3" t="s">
        <v>38</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35">
      <c r="A269" s="3">
        <v>13133</v>
      </c>
      <c r="B269" s="3" t="s">
        <v>37</v>
      </c>
      <c r="C269" s="3" t="s">
        <v>39</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35">
      <c r="A270" s="3">
        <v>19626</v>
      </c>
      <c r="B270" s="3" t="s">
        <v>36</v>
      </c>
      <c r="C270" s="3" t="s">
        <v>39</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35">
      <c r="A271" s="3">
        <v>21039</v>
      </c>
      <c r="B271" s="3" t="s">
        <v>37</v>
      </c>
      <c r="C271" s="3" t="s">
        <v>38</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35">
      <c r="A272" s="3">
        <v>12231</v>
      </c>
      <c r="B272" s="3" t="s">
        <v>37</v>
      </c>
      <c r="C272" s="3" t="s">
        <v>38</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35">
      <c r="A273" s="3">
        <v>25665</v>
      </c>
      <c r="B273" s="3" t="s">
        <v>37</v>
      </c>
      <c r="C273" s="3" t="s">
        <v>38</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35">
      <c r="A274" s="3">
        <v>24061</v>
      </c>
      <c r="B274" s="3" t="s">
        <v>36</v>
      </c>
      <c r="C274" s="3" t="s">
        <v>39</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35">
      <c r="A275" s="3">
        <v>26879</v>
      </c>
      <c r="B275" s="3" t="s">
        <v>37</v>
      </c>
      <c r="C275" s="3" t="s">
        <v>38</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35">
      <c r="A276" s="3">
        <v>12284</v>
      </c>
      <c r="B276" s="3" t="s">
        <v>36</v>
      </c>
      <c r="C276" s="3" t="s">
        <v>38</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35">
      <c r="A277" s="3">
        <v>26654</v>
      </c>
      <c r="B277" s="3" t="s">
        <v>36</v>
      </c>
      <c r="C277" s="3" t="s">
        <v>38</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35">
      <c r="A278" s="3">
        <v>14545</v>
      </c>
      <c r="B278" s="3" t="s">
        <v>36</v>
      </c>
      <c r="C278" s="3" t="s">
        <v>38</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35">
      <c r="A279" s="3">
        <v>24201</v>
      </c>
      <c r="B279" s="3" t="s">
        <v>36</v>
      </c>
      <c r="C279" s="3" t="s">
        <v>38</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35">
      <c r="A280" s="3">
        <v>20625</v>
      </c>
      <c r="B280" s="3" t="s">
        <v>36</v>
      </c>
      <c r="C280" s="3" t="s">
        <v>39</v>
      </c>
      <c r="D280" s="5">
        <v>100000</v>
      </c>
      <c r="E280" s="3">
        <v>0</v>
      </c>
      <c r="F280" s="3" t="s">
        <v>27</v>
      </c>
      <c r="G280" s="3" t="s">
        <v>28</v>
      </c>
      <c r="H280" s="3" t="s">
        <v>15</v>
      </c>
      <c r="I280" s="3">
        <v>3</v>
      </c>
      <c r="J280" s="3" t="s">
        <v>46</v>
      </c>
      <c r="K280" s="3" t="s">
        <v>24</v>
      </c>
      <c r="L280" s="3">
        <v>35</v>
      </c>
      <c r="M280" s="3" t="str">
        <f t="shared" si="4"/>
        <v>Middle Age</v>
      </c>
      <c r="N280" s="3" t="s">
        <v>15</v>
      </c>
    </row>
    <row r="281" spans="1:14" x14ac:dyDescent="0.35">
      <c r="A281" s="3">
        <v>16390</v>
      </c>
      <c r="B281" s="3" t="s">
        <v>37</v>
      </c>
      <c r="C281" s="3" t="s">
        <v>39</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35">
      <c r="A282" s="3">
        <v>14804</v>
      </c>
      <c r="B282" s="3" t="s">
        <v>37</v>
      </c>
      <c r="C282" s="3" t="s">
        <v>38</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35">
      <c r="A283" s="3">
        <v>12629</v>
      </c>
      <c r="B283" s="3" t="s">
        <v>37</v>
      </c>
      <c r="C283" s="3" t="s">
        <v>39</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35">
      <c r="A284" s="3">
        <v>14696</v>
      </c>
      <c r="B284" s="3" t="s">
        <v>37</v>
      </c>
      <c r="C284" s="3" t="s">
        <v>39</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35">
      <c r="A285" s="3">
        <v>22005</v>
      </c>
      <c r="B285" s="3" t="s">
        <v>36</v>
      </c>
      <c r="C285" s="3" t="s">
        <v>38</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35">
      <c r="A286" s="3">
        <v>14544</v>
      </c>
      <c r="B286" s="3" t="s">
        <v>37</v>
      </c>
      <c r="C286" s="3" t="s">
        <v>39</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35">
      <c r="A287" s="3">
        <v>14312</v>
      </c>
      <c r="B287" s="3" t="s">
        <v>36</v>
      </c>
      <c r="C287" s="3" t="s">
        <v>38</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35">
      <c r="A288" s="3">
        <v>29120</v>
      </c>
      <c r="B288" s="3" t="s">
        <v>37</v>
      </c>
      <c r="C288" s="3" t="s">
        <v>38</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35">
      <c r="A289" s="3">
        <v>24187</v>
      </c>
      <c r="B289" s="3" t="s">
        <v>37</v>
      </c>
      <c r="C289" s="3" t="s">
        <v>38</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35">
      <c r="A290" s="3">
        <v>15758</v>
      </c>
      <c r="B290" s="3" t="s">
        <v>36</v>
      </c>
      <c r="C290" s="3" t="s">
        <v>39</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35">
      <c r="A291" s="3">
        <v>29094</v>
      </c>
      <c r="B291" s="3" t="s">
        <v>36</v>
      </c>
      <c r="C291" s="3" t="s">
        <v>39</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35">
      <c r="A292" s="3">
        <v>28319</v>
      </c>
      <c r="B292" s="3" t="s">
        <v>37</v>
      </c>
      <c r="C292" s="3" t="s">
        <v>38</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35">
      <c r="A293" s="3">
        <v>16406</v>
      </c>
      <c r="B293" s="3" t="s">
        <v>36</v>
      </c>
      <c r="C293" s="3" t="s">
        <v>39</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35">
      <c r="A294" s="3">
        <v>20923</v>
      </c>
      <c r="B294" s="3" t="s">
        <v>36</v>
      </c>
      <c r="C294" s="3" t="s">
        <v>38</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35">
      <c r="A295" s="3">
        <v>11378</v>
      </c>
      <c r="B295" s="3" t="s">
        <v>37</v>
      </c>
      <c r="C295" s="3" t="s">
        <v>38</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35">
      <c r="A296" s="3">
        <v>20851</v>
      </c>
      <c r="B296" s="3" t="s">
        <v>37</v>
      </c>
      <c r="C296" s="3" t="s">
        <v>39</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35">
      <c r="A297" s="3">
        <v>21557</v>
      </c>
      <c r="B297" s="3" t="s">
        <v>37</v>
      </c>
      <c r="C297" s="3" t="s">
        <v>38</v>
      </c>
      <c r="D297" s="5">
        <v>110000</v>
      </c>
      <c r="E297" s="3">
        <v>0</v>
      </c>
      <c r="F297" s="3" t="s">
        <v>19</v>
      </c>
      <c r="G297" s="3" t="s">
        <v>28</v>
      </c>
      <c r="H297" s="3" t="s">
        <v>15</v>
      </c>
      <c r="I297" s="3">
        <v>3</v>
      </c>
      <c r="J297" s="3" t="s">
        <v>46</v>
      </c>
      <c r="K297" s="3" t="s">
        <v>24</v>
      </c>
      <c r="L297" s="3">
        <v>32</v>
      </c>
      <c r="M297" s="3" t="str">
        <f t="shared" si="4"/>
        <v>Middle Age</v>
      </c>
      <c r="N297" s="3" t="s">
        <v>15</v>
      </c>
    </row>
    <row r="298" spans="1:14" x14ac:dyDescent="0.35">
      <c r="A298" s="3">
        <v>26663</v>
      </c>
      <c r="B298" s="3" t="s">
        <v>37</v>
      </c>
      <c r="C298" s="3" t="s">
        <v>38</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35">
      <c r="A299" s="3">
        <v>11896</v>
      </c>
      <c r="B299" s="3" t="s">
        <v>36</v>
      </c>
      <c r="C299" s="3" t="s">
        <v>39</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35">
      <c r="A300" s="3">
        <v>14189</v>
      </c>
      <c r="B300" s="3" t="s">
        <v>36</v>
      </c>
      <c r="C300" s="3" t="s">
        <v>38</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35">
      <c r="A301" s="3">
        <v>13136</v>
      </c>
      <c r="B301" s="3" t="s">
        <v>36</v>
      </c>
      <c r="C301" s="3" t="s">
        <v>38</v>
      </c>
      <c r="D301" s="5">
        <v>30000</v>
      </c>
      <c r="E301" s="3">
        <v>2</v>
      </c>
      <c r="F301" s="3" t="s">
        <v>19</v>
      </c>
      <c r="G301" s="3" t="s">
        <v>20</v>
      </c>
      <c r="H301" s="3" t="s">
        <v>18</v>
      </c>
      <c r="I301" s="3">
        <v>2</v>
      </c>
      <c r="J301" s="3" t="s">
        <v>23</v>
      </c>
      <c r="K301" s="3" t="s">
        <v>24</v>
      </c>
      <c r="L301" s="3">
        <v>69</v>
      </c>
      <c r="M301" s="3" t="str">
        <f t="shared" si="4"/>
        <v>Old</v>
      </c>
      <c r="N301" s="3" t="s">
        <v>18</v>
      </c>
    </row>
    <row r="302" spans="1:14" x14ac:dyDescent="0.35">
      <c r="A302" s="3">
        <v>25906</v>
      </c>
      <c r="B302" s="3" t="s">
        <v>37</v>
      </c>
      <c r="C302" s="3" t="s">
        <v>38</v>
      </c>
      <c r="D302" s="5">
        <v>10000</v>
      </c>
      <c r="E302" s="3">
        <v>5</v>
      </c>
      <c r="F302" s="3" t="s">
        <v>27</v>
      </c>
      <c r="G302" s="3" t="s">
        <v>14</v>
      </c>
      <c r="H302" s="3" t="s">
        <v>18</v>
      </c>
      <c r="I302" s="3">
        <v>2</v>
      </c>
      <c r="J302" s="3" t="s">
        <v>26</v>
      </c>
      <c r="K302" s="3" t="s">
        <v>24</v>
      </c>
      <c r="L302" s="3">
        <v>62</v>
      </c>
      <c r="M302" s="3" t="str">
        <f t="shared" si="4"/>
        <v>Old</v>
      </c>
      <c r="N302" s="3" t="s">
        <v>18</v>
      </c>
    </row>
    <row r="303" spans="1:14" x14ac:dyDescent="0.35">
      <c r="A303" s="3">
        <v>17926</v>
      </c>
      <c r="B303" s="3" t="s">
        <v>37</v>
      </c>
      <c r="C303" s="3" t="s">
        <v>38</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35">
      <c r="A304" s="3">
        <v>26928</v>
      </c>
      <c r="B304" s="3" t="s">
        <v>37</v>
      </c>
      <c r="C304" s="3" t="s">
        <v>39</v>
      </c>
      <c r="D304" s="5">
        <v>30000</v>
      </c>
      <c r="E304" s="3">
        <v>1</v>
      </c>
      <c r="F304" s="3" t="s">
        <v>13</v>
      </c>
      <c r="G304" s="3" t="s">
        <v>20</v>
      </c>
      <c r="H304" s="3" t="s">
        <v>15</v>
      </c>
      <c r="I304" s="3">
        <v>0</v>
      </c>
      <c r="J304" s="3" t="s">
        <v>16</v>
      </c>
      <c r="K304" s="3" t="s">
        <v>17</v>
      </c>
      <c r="L304" s="3">
        <v>62</v>
      </c>
      <c r="M304" s="3" t="str">
        <f t="shared" si="4"/>
        <v>Old</v>
      </c>
      <c r="N304" s="3" t="s">
        <v>15</v>
      </c>
    </row>
    <row r="305" spans="1:14" x14ac:dyDescent="0.35">
      <c r="A305" s="3">
        <v>20897</v>
      </c>
      <c r="B305" s="3" t="s">
        <v>36</v>
      </c>
      <c r="C305" s="3" t="s">
        <v>38</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35">
      <c r="A306" s="3">
        <v>28207</v>
      </c>
      <c r="B306" s="3" t="s">
        <v>36</v>
      </c>
      <c r="C306" s="3" t="s">
        <v>39</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35">
      <c r="A307" s="3">
        <v>25923</v>
      </c>
      <c r="B307" s="3" t="s">
        <v>37</v>
      </c>
      <c r="C307" s="3" t="s">
        <v>39</v>
      </c>
      <c r="D307" s="5">
        <v>10000</v>
      </c>
      <c r="E307" s="3">
        <v>2</v>
      </c>
      <c r="F307" s="3" t="s">
        <v>29</v>
      </c>
      <c r="G307" s="3" t="s">
        <v>20</v>
      </c>
      <c r="H307" s="3" t="s">
        <v>15</v>
      </c>
      <c r="I307" s="3">
        <v>2</v>
      </c>
      <c r="J307" s="3" t="s">
        <v>23</v>
      </c>
      <c r="K307" s="3" t="s">
        <v>24</v>
      </c>
      <c r="L307" s="3">
        <v>58</v>
      </c>
      <c r="M307" s="3" t="str">
        <f t="shared" si="4"/>
        <v>Old</v>
      </c>
      <c r="N307" s="3" t="s">
        <v>18</v>
      </c>
    </row>
    <row r="308" spans="1:14" x14ac:dyDescent="0.35">
      <c r="A308" s="3">
        <v>11000</v>
      </c>
      <c r="B308" s="3" t="s">
        <v>36</v>
      </c>
      <c r="C308" s="3" t="s">
        <v>39</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35">
      <c r="A309" s="3">
        <v>20974</v>
      </c>
      <c r="B309" s="3" t="s">
        <v>36</v>
      </c>
      <c r="C309" s="3" t="s">
        <v>39</v>
      </c>
      <c r="D309" s="5">
        <v>10000</v>
      </c>
      <c r="E309" s="3">
        <v>2</v>
      </c>
      <c r="F309" s="3" t="s">
        <v>13</v>
      </c>
      <c r="G309" s="3" t="s">
        <v>20</v>
      </c>
      <c r="H309" s="3" t="s">
        <v>15</v>
      </c>
      <c r="I309" s="3">
        <v>1</v>
      </c>
      <c r="J309" s="3" t="s">
        <v>16</v>
      </c>
      <c r="K309" s="3" t="s">
        <v>17</v>
      </c>
      <c r="L309" s="3">
        <v>66</v>
      </c>
      <c r="M309" s="3" t="str">
        <f t="shared" si="4"/>
        <v>Old</v>
      </c>
      <c r="N309" s="3" t="s">
        <v>18</v>
      </c>
    </row>
    <row r="310" spans="1:14" x14ac:dyDescent="0.35">
      <c r="A310" s="3">
        <v>28758</v>
      </c>
      <c r="B310" s="3" t="s">
        <v>36</v>
      </c>
      <c r="C310" s="3" t="s">
        <v>39</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35">
      <c r="A311" s="3">
        <v>11381</v>
      </c>
      <c r="B311" s="3" t="s">
        <v>36</v>
      </c>
      <c r="C311" s="3" t="s">
        <v>38</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35">
      <c r="A312" s="3">
        <v>17522</v>
      </c>
      <c r="B312" s="3" t="s">
        <v>36</v>
      </c>
      <c r="C312" s="3" t="s">
        <v>39</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35">
      <c r="A313" s="3">
        <v>21207</v>
      </c>
      <c r="B313" s="3" t="s">
        <v>36</v>
      </c>
      <c r="C313" s="3" t="s">
        <v>39</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35">
      <c r="A314" s="3">
        <v>28102</v>
      </c>
      <c r="B314" s="3" t="s">
        <v>36</v>
      </c>
      <c r="C314" s="3" t="s">
        <v>39</v>
      </c>
      <c r="D314" s="5">
        <v>20000</v>
      </c>
      <c r="E314" s="3">
        <v>4</v>
      </c>
      <c r="F314" s="3" t="s">
        <v>27</v>
      </c>
      <c r="G314" s="3" t="s">
        <v>14</v>
      </c>
      <c r="H314" s="3" t="s">
        <v>15</v>
      </c>
      <c r="I314" s="3">
        <v>2</v>
      </c>
      <c r="J314" s="3" t="s">
        <v>23</v>
      </c>
      <c r="K314" s="3" t="s">
        <v>24</v>
      </c>
      <c r="L314" s="3">
        <v>58</v>
      </c>
      <c r="M314" s="3" t="str">
        <f t="shared" si="4"/>
        <v>Old</v>
      </c>
      <c r="N314" s="3" t="s">
        <v>15</v>
      </c>
    </row>
    <row r="315" spans="1:14" x14ac:dyDescent="0.35">
      <c r="A315" s="3">
        <v>23105</v>
      </c>
      <c r="B315" s="3" t="s">
        <v>37</v>
      </c>
      <c r="C315" s="3" t="s">
        <v>39</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35">
      <c r="A316" s="3">
        <v>18740</v>
      </c>
      <c r="B316" s="3" t="s">
        <v>36</v>
      </c>
      <c r="C316" s="3" t="s">
        <v>39</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35">
      <c r="A317" s="3">
        <v>21213</v>
      </c>
      <c r="B317" s="3" t="s">
        <v>37</v>
      </c>
      <c r="C317" s="3" t="s">
        <v>39</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35">
      <c r="A318" s="3">
        <v>17352</v>
      </c>
      <c r="B318" s="3" t="s">
        <v>36</v>
      </c>
      <c r="C318" s="3" t="s">
        <v>39</v>
      </c>
      <c r="D318" s="5">
        <v>50000</v>
      </c>
      <c r="E318" s="3">
        <v>2</v>
      </c>
      <c r="F318" s="3" t="s">
        <v>31</v>
      </c>
      <c r="G318" s="3" t="s">
        <v>28</v>
      </c>
      <c r="H318" s="3" t="s">
        <v>15</v>
      </c>
      <c r="I318" s="3">
        <v>1</v>
      </c>
      <c r="J318" s="3" t="s">
        <v>23</v>
      </c>
      <c r="K318" s="3" t="s">
        <v>24</v>
      </c>
      <c r="L318" s="3">
        <v>64</v>
      </c>
      <c r="M318" s="3" t="str">
        <f t="shared" si="4"/>
        <v>Old</v>
      </c>
      <c r="N318" s="3" t="s">
        <v>15</v>
      </c>
    </row>
    <row r="319" spans="1:14" x14ac:dyDescent="0.35">
      <c r="A319" s="3">
        <v>14154</v>
      </c>
      <c r="B319" s="3" t="s">
        <v>36</v>
      </c>
      <c r="C319" s="3" t="s">
        <v>39</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35">
      <c r="A320" s="3">
        <v>19066</v>
      </c>
      <c r="B320" s="3" t="s">
        <v>36</v>
      </c>
      <c r="C320" s="3" t="s">
        <v>39</v>
      </c>
      <c r="D320" s="5">
        <v>130000</v>
      </c>
      <c r="E320" s="3">
        <v>4</v>
      </c>
      <c r="F320" s="3" t="s">
        <v>19</v>
      </c>
      <c r="G320" s="3" t="s">
        <v>21</v>
      </c>
      <c r="H320" s="3" t="s">
        <v>18</v>
      </c>
      <c r="I320" s="3">
        <v>3</v>
      </c>
      <c r="J320" s="3" t="s">
        <v>46</v>
      </c>
      <c r="K320" s="3" t="s">
        <v>17</v>
      </c>
      <c r="L320" s="3">
        <v>54</v>
      </c>
      <c r="M320" s="3" t="str">
        <f t="shared" si="4"/>
        <v>Middle Age</v>
      </c>
      <c r="N320" s="3" t="s">
        <v>18</v>
      </c>
    </row>
    <row r="321" spans="1:14" x14ac:dyDescent="0.35">
      <c r="A321" s="3">
        <v>11386</v>
      </c>
      <c r="B321" s="3" t="s">
        <v>36</v>
      </c>
      <c r="C321" s="3" t="s">
        <v>38</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35">
      <c r="A322" s="3">
        <v>20228</v>
      </c>
      <c r="B322" s="3" t="s">
        <v>36</v>
      </c>
      <c r="C322" s="3" t="s">
        <v>39</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35">
      <c r="A323" s="3">
        <v>16675</v>
      </c>
      <c r="B323" s="3" t="s">
        <v>37</v>
      </c>
      <c r="C323" s="3" t="s">
        <v>38</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35">
      <c r="A324" s="3">
        <v>16410</v>
      </c>
      <c r="B324" s="3" t="s">
        <v>37</v>
      </c>
      <c r="C324" s="3" t="s">
        <v>38</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35">
      <c r="A325" s="3">
        <v>27760</v>
      </c>
      <c r="B325" s="3" t="s">
        <v>37</v>
      </c>
      <c r="C325" s="3" t="s">
        <v>38</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35">
      <c r="A326" s="3">
        <v>22930</v>
      </c>
      <c r="B326" s="3" t="s">
        <v>36</v>
      </c>
      <c r="C326" s="3" t="s">
        <v>39</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35">
      <c r="A327" s="3">
        <v>23780</v>
      </c>
      <c r="B327" s="3" t="s">
        <v>37</v>
      </c>
      <c r="C327" s="3" t="s">
        <v>39</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35">
      <c r="A328" s="3">
        <v>20994</v>
      </c>
      <c r="B328" s="3" t="s">
        <v>36</v>
      </c>
      <c r="C328" s="3" t="s">
        <v>38</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35">
      <c r="A329" s="3">
        <v>28379</v>
      </c>
      <c r="B329" s="3" t="s">
        <v>36</v>
      </c>
      <c r="C329" s="3" t="s">
        <v>39</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35">
      <c r="A330" s="3">
        <v>14865</v>
      </c>
      <c r="B330" s="3" t="s">
        <v>37</v>
      </c>
      <c r="C330" s="3" t="s">
        <v>39</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35">
      <c r="A331" s="3">
        <v>12663</v>
      </c>
      <c r="B331" s="3" t="s">
        <v>36</v>
      </c>
      <c r="C331" s="3" t="s">
        <v>38</v>
      </c>
      <c r="D331" s="5">
        <v>90000</v>
      </c>
      <c r="E331" s="3">
        <v>5</v>
      </c>
      <c r="F331" s="3" t="s">
        <v>29</v>
      </c>
      <c r="G331" s="3" t="s">
        <v>14</v>
      </c>
      <c r="H331" s="3" t="s">
        <v>15</v>
      </c>
      <c r="I331" s="3">
        <v>2</v>
      </c>
      <c r="J331" s="3" t="s">
        <v>46</v>
      </c>
      <c r="K331" s="3" t="s">
        <v>17</v>
      </c>
      <c r="L331" s="3">
        <v>59</v>
      </c>
      <c r="M331" s="3" t="str">
        <f t="shared" si="5"/>
        <v>Old</v>
      </c>
      <c r="N331" s="3" t="s">
        <v>18</v>
      </c>
    </row>
    <row r="332" spans="1:14" x14ac:dyDescent="0.35">
      <c r="A332" s="3">
        <v>24898</v>
      </c>
      <c r="B332" s="3" t="s">
        <v>37</v>
      </c>
      <c r="C332" s="3" t="s">
        <v>38</v>
      </c>
      <c r="D332" s="5">
        <v>80000</v>
      </c>
      <c r="E332" s="3">
        <v>0</v>
      </c>
      <c r="F332" s="3" t="s">
        <v>13</v>
      </c>
      <c r="G332" s="3" t="s">
        <v>21</v>
      </c>
      <c r="H332" s="3" t="s">
        <v>15</v>
      </c>
      <c r="I332" s="3">
        <v>3</v>
      </c>
      <c r="J332" s="3" t="s">
        <v>46</v>
      </c>
      <c r="K332" s="3" t="s">
        <v>24</v>
      </c>
      <c r="L332" s="3">
        <v>32</v>
      </c>
      <c r="M332" s="3" t="str">
        <f t="shared" si="5"/>
        <v>Middle Age</v>
      </c>
      <c r="N332" s="3" t="s">
        <v>18</v>
      </c>
    </row>
    <row r="333" spans="1:14" x14ac:dyDescent="0.35">
      <c r="A333" s="3">
        <v>19508</v>
      </c>
      <c r="B333" s="3" t="s">
        <v>36</v>
      </c>
      <c r="C333" s="3" t="s">
        <v>39</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35">
      <c r="A334" s="3">
        <v>11489</v>
      </c>
      <c r="B334" s="3" t="s">
        <v>37</v>
      </c>
      <c r="C334" s="3" t="s">
        <v>38</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35">
      <c r="A335" s="3">
        <v>18160</v>
      </c>
      <c r="B335" s="3" t="s">
        <v>36</v>
      </c>
      <c r="C335" s="3" t="s">
        <v>39</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35">
      <c r="A336" s="3">
        <v>25241</v>
      </c>
      <c r="B336" s="3" t="s">
        <v>36</v>
      </c>
      <c r="C336" s="3" t="s">
        <v>39</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35">
      <c r="A337" s="3">
        <v>24369</v>
      </c>
      <c r="B337" s="3" t="s">
        <v>36</v>
      </c>
      <c r="C337" s="3" t="s">
        <v>39</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35">
      <c r="A338" s="3">
        <v>27165</v>
      </c>
      <c r="B338" s="3" t="s">
        <v>37</v>
      </c>
      <c r="C338" s="3" t="s">
        <v>39</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35">
      <c r="A339" s="3">
        <v>29424</v>
      </c>
      <c r="B339" s="3" t="s">
        <v>36</v>
      </c>
      <c r="C339" s="3" t="s">
        <v>39</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35">
      <c r="A340" s="3">
        <v>15926</v>
      </c>
      <c r="B340" s="3" t="s">
        <v>37</v>
      </c>
      <c r="C340" s="3" t="s">
        <v>38</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35">
      <c r="A341" s="3">
        <v>14554</v>
      </c>
      <c r="B341" s="3" t="s">
        <v>36</v>
      </c>
      <c r="C341" s="3" t="s">
        <v>39</v>
      </c>
      <c r="D341" s="5">
        <v>20000</v>
      </c>
      <c r="E341" s="3">
        <v>1</v>
      </c>
      <c r="F341" s="3" t="s">
        <v>13</v>
      </c>
      <c r="G341" s="3" t="s">
        <v>20</v>
      </c>
      <c r="H341" s="3" t="s">
        <v>15</v>
      </c>
      <c r="I341" s="3">
        <v>0</v>
      </c>
      <c r="J341" s="3" t="s">
        <v>16</v>
      </c>
      <c r="K341" s="3" t="s">
        <v>17</v>
      </c>
      <c r="L341" s="3">
        <v>66</v>
      </c>
      <c r="M341" s="3" t="str">
        <f t="shared" si="5"/>
        <v>Old</v>
      </c>
      <c r="N341" s="3" t="s">
        <v>18</v>
      </c>
    </row>
    <row r="342" spans="1:14" x14ac:dyDescent="0.35">
      <c r="A342" s="3">
        <v>16468</v>
      </c>
      <c r="B342" s="3" t="s">
        <v>37</v>
      </c>
      <c r="C342" s="3" t="s">
        <v>39</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35">
      <c r="A343" s="3">
        <v>19174</v>
      </c>
      <c r="B343" s="3" t="s">
        <v>37</v>
      </c>
      <c r="C343" s="3" t="s">
        <v>38</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35">
      <c r="A344" s="3">
        <v>19183</v>
      </c>
      <c r="B344" s="3" t="s">
        <v>37</v>
      </c>
      <c r="C344" s="3" t="s">
        <v>39</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35">
      <c r="A345" s="3">
        <v>13683</v>
      </c>
      <c r="B345" s="3" t="s">
        <v>37</v>
      </c>
      <c r="C345" s="3" t="s">
        <v>38</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35">
      <c r="A346" s="3">
        <v>17848</v>
      </c>
      <c r="B346" s="3" t="s">
        <v>37</v>
      </c>
      <c r="C346" s="3" t="s">
        <v>39</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35">
      <c r="A347" s="3">
        <v>17894</v>
      </c>
      <c r="B347" s="3" t="s">
        <v>36</v>
      </c>
      <c r="C347" s="3" t="s">
        <v>38</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35">
      <c r="A348" s="3">
        <v>25651</v>
      </c>
      <c r="B348" s="3" t="s">
        <v>36</v>
      </c>
      <c r="C348" s="3" t="s">
        <v>39</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35">
      <c r="A349" s="3">
        <v>22936</v>
      </c>
      <c r="B349" s="3" t="s">
        <v>37</v>
      </c>
      <c r="C349" s="3" t="s">
        <v>38</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35">
      <c r="A350" s="3">
        <v>23915</v>
      </c>
      <c r="B350" s="3" t="s">
        <v>36</v>
      </c>
      <c r="C350" s="3" t="s">
        <v>39</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35">
      <c r="A351" s="3">
        <v>24121</v>
      </c>
      <c r="B351" s="3" t="s">
        <v>37</v>
      </c>
      <c r="C351" s="3" t="s">
        <v>38</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35">
      <c r="A352" s="3">
        <v>27878</v>
      </c>
      <c r="B352" s="3" t="s">
        <v>37</v>
      </c>
      <c r="C352" s="3" t="s">
        <v>39</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35">
      <c r="A353" s="3">
        <v>13572</v>
      </c>
      <c r="B353" s="3" t="s">
        <v>37</v>
      </c>
      <c r="C353" s="3" t="s">
        <v>39</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35">
      <c r="A354" s="3">
        <v>27941</v>
      </c>
      <c r="B354" s="3" t="s">
        <v>36</v>
      </c>
      <c r="C354" s="3" t="s">
        <v>38</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35">
      <c r="A355" s="3">
        <v>26354</v>
      </c>
      <c r="B355" s="3" t="s">
        <v>37</v>
      </c>
      <c r="C355" s="3" t="s">
        <v>39</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35">
      <c r="A356" s="3">
        <v>14785</v>
      </c>
      <c r="B356" s="3" t="s">
        <v>37</v>
      </c>
      <c r="C356" s="3" t="s">
        <v>39</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35">
      <c r="A357" s="3">
        <v>17238</v>
      </c>
      <c r="B357" s="3" t="s">
        <v>37</v>
      </c>
      <c r="C357" s="3" t="s">
        <v>39</v>
      </c>
      <c r="D357" s="5">
        <v>80000</v>
      </c>
      <c r="E357" s="3">
        <v>0</v>
      </c>
      <c r="F357" s="3" t="s">
        <v>13</v>
      </c>
      <c r="G357" s="3" t="s">
        <v>21</v>
      </c>
      <c r="H357" s="3" t="s">
        <v>15</v>
      </c>
      <c r="I357" s="3">
        <v>3</v>
      </c>
      <c r="J357" s="3" t="s">
        <v>46</v>
      </c>
      <c r="K357" s="3" t="s">
        <v>24</v>
      </c>
      <c r="L357" s="3">
        <v>32</v>
      </c>
      <c r="M357" s="3" t="str">
        <f t="shared" si="5"/>
        <v>Middle Age</v>
      </c>
      <c r="N357" s="3" t="s">
        <v>18</v>
      </c>
    </row>
    <row r="358" spans="1:14" x14ac:dyDescent="0.35">
      <c r="A358" s="3">
        <v>23608</v>
      </c>
      <c r="B358" s="3" t="s">
        <v>36</v>
      </c>
      <c r="C358" s="3" t="s">
        <v>38</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35">
      <c r="A359" s="3">
        <v>22538</v>
      </c>
      <c r="B359" s="3" t="s">
        <v>37</v>
      </c>
      <c r="C359" s="3" t="s">
        <v>38</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35">
      <c r="A360" s="3">
        <v>12332</v>
      </c>
      <c r="B360" s="3" t="s">
        <v>36</v>
      </c>
      <c r="C360" s="3" t="s">
        <v>39</v>
      </c>
      <c r="D360" s="5">
        <v>90000</v>
      </c>
      <c r="E360" s="3">
        <v>4</v>
      </c>
      <c r="F360" s="3" t="s">
        <v>27</v>
      </c>
      <c r="G360" s="3" t="s">
        <v>28</v>
      </c>
      <c r="H360" s="3" t="s">
        <v>15</v>
      </c>
      <c r="I360" s="3">
        <v>3</v>
      </c>
      <c r="J360" s="3" t="s">
        <v>23</v>
      </c>
      <c r="K360" s="3" t="s">
        <v>17</v>
      </c>
      <c r="L360" s="3">
        <v>58</v>
      </c>
      <c r="M360" s="3" t="str">
        <f t="shared" si="5"/>
        <v>Old</v>
      </c>
      <c r="N360" s="3" t="s">
        <v>15</v>
      </c>
    </row>
    <row r="361" spans="1:14" x14ac:dyDescent="0.35">
      <c r="A361" s="3">
        <v>17230</v>
      </c>
      <c r="B361" s="3" t="s">
        <v>36</v>
      </c>
      <c r="C361" s="3" t="s">
        <v>39</v>
      </c>
      <c r="D361" s="5">
        <v>80000</v>
      </c>
      <c r="E361" s="3">
        <v>0</v>
      </c>
      <c r="F361" s="3" t="s">
        <v>13</v>
      </c>
      <c r="G361" s="3" t="s">
        <v>21</v>
      </c>
      <c r="H361" s="3" t="s">
        <v>15</v>
      </c>
      <c r="I361" s="3">
        <v>3</v>
      </c>
      <c r="J361" s="3" t="s">
        <v>46</v>
      </c>
      <c r="K361" s="3" t="s">
        <v>24</v>
      </c>
      <c r="L361" s="3">
        <v>30</v>
      </c>
      <c r="M361" s="3" t="str">
        <f t="shared" si="5"/>
        <v>Adolescent</v>
      </c>
      <c r="N361" s="3" t="s">
        <v>18</v>
      </c>
    </row>
    <row r="362" spans="1:14" x14ac:dyDescent="0.35">
      <c r="A362" s="3">
        <v>13082</v>
      </c>
      <c r="B362" s="3" t="s">
        <v>37</v>
      </c>
      <c r="C362" s="3" t="s">
        <v>39</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35">
      <c r="A363" s="3">
        <v>22518</v>
      </c>
      <c r="B363" s="3" t="s">
        <v>37</v>
      </c>
      <c r="C363" s="3" t="s">
        <v>38</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35">
      <c r="A364" s="3">
        <v>13687</v>
      </c>
      <c r="B364" s="3" t="s">
        <v>36</v>
      </c>
      <c r="C364" s="3" t="s">
        <v>39</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35">
      <c r="A365" s="3">
        <v>23571</v>
      </c>
      <c r="B365" s="3" t="s">
        <v>36</v>
      </c>
      <c r="C365" s="3" t="s">
        <v>38</v>
      </c>
      <c r="D365" s="5">
        <v>40000</v>
      </c>
      <c r="E365" s="3">
        <v>2</v>
      </c>
      <c r="F365" s="3" t="s">
        <v>13</v>
      </c>
      <c r="G365" s="3" t="s">
        <v>28</v>
      </c>
      <c r="H365" s="3" t="s">
        <v>15</v>
      </c>
      <c r="I365" s="3">
        <v>2</v>
      </c>
      <c r="J365" s="3" t="s">
        <v>16</v>
      </c>
      <c r="K365" s="3" t="s">
        <v>24</v>
      </c>
      <c r="L365" s="3">
        <v>66</v>
      </c>
      <c r="M365" s="3" t="str">
        <f t="shared" si="5"/>
        <v>Old</v>
      </c>
      <c r="N365" s="3" t="s">
        <v>15</v>
      </c>
    </row>
    <row r="366" spans="1:14" x14ac:dyDescent="0.35">
      <c r="A366" s="3">
        <v>19305</v>
      </c>
      <c r="B366" s="3" t="s">
        <v>37</v>
      </c>
      <c r="C366" s="3" t="s">
        <v>38</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35">
      <c r="A367" s="3">
        <v>22636</v>
      </c>
      <c r="B367" s="3" t="s">
        <v>37</v>
      </c>
      <c r="C367" s="3" t="s">
        <v>38</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35">
      <c r="A368" s="3">
        <v>17310</v>
      </c>
      <c r="B368" s="3" t="s">
        <v>36</v>
      </c>
      <c r="C368" s="3" t="s">
        <v>39</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35">
      <c r="A369" s="3">
        <v>12133</v>
      </c>
      <c r="B369" s="3" t="s">
        <v>36</v>
      </c>
      <c r="C369" s="3" t="s">
        <v>38</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35">
      <c r="A370" s="3">
        <v>25918</v>
      </c>
      <c r="B370" s="3" t="s">
        <v>37</v>
      </c>
      <c r="C370" s="3" t="s">
        <v>38</v>
      </c>
      <c r="D370" s="5">
        <v>30000</v>
      </c>
      <c r="E370" s="3">
        <v>2</v>
      </c>
      <c r="F370" s="3" t="s">
        <v>19</v>
      </c>
      <c r="G370" s="3" t="s">
        <v>20</v>
      </c>
      <c r="H370" s="3" t="s">
        <v>18</v>
      </c>
      <c r="I370" s="3">
        <v>2</v>
      </c>
      <c r="J370" s="3" t="s">
        <v>23</v>
      </c>
      <c r="K370" s="3" t="s">
        <v>24</v>
      </c>
      <c r="L370" s="3">
        <v>60</v>
      </c>
      <c r="M370" s="3" t="str">
        <f t="shared" si="5"/>
        <v>Old</v>
      </c>
      <c r="N370" s="3" t="s">
        <v>15</v>
      </c>
    </row>
    <row r="371" spans="1:14" x14ac:dyDescent="0.35">
      <c r="A371" s="3">
        <v>25752</v>
      </c>
      <c r="B371" s="3" t="s">
        <v>37</v>
      </c>
      <c r="C371" s="3" t="s">
        <v>38</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35">
      <c r="A372" s="3">
        <v>17324</v>
      </c>
      <c r="B372" s="3" t="s">
        <v>36</v>
      </c>
      <c r="C372" s="3" t="s">
        <v>38</v>
      </c>
      <c r="D372" s="5">
        <v>100000</v>
      </c>
      <c r="E372" s="3">
        <v>4</v>
      </c>
      <c r="F372" s="3" t="s">
        <v>13</v>
      </c>
      <c r="G372" s="3" t="s">
        <v>21</v>
      </c>
      <c r="H372" s="3" t="s">
        <v>15</v>
      </c>
      <c r="I372" s="3">
        <v>1</v>
      </c>
      <c r="J372" s="3" t="s">
        <v>46</v>
      </c>
      <c r="K372" s="3" t="s">
        <v>24</v>
      </c>
      <c r="L372" s="3">
        <v>46</v>
      </c>
      <c r="M372" s="3" t="str">
        <f t="shared" si="5"/>
        <v>Middle Age</v>
      </c>
      <c r="N372" s="3" t="s">
        <v>18</v>
      </c>
    </row>
    <row r="373" spans="1:14" x14ac:dyDescent="0.35">
      <c r="A373" s="3">
        <v>22918</v>
      </c>
      <c r="B373" s="3" t="s">
        <v>37</v>
      </c>
      <c r="C373" s="3" t="s">
        <v>39</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35">
      <c r="A374" s="3">
        <v>12510</v>
      </c>
      <c r="B374" s="3" t="s">
        <v>36</v>
      </c>
      <c r="C374" s="3" t="s">
        <v>39</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35">
      <c r="A375" s="3">
        <v>25512</v>
      </c>
      <c r="B375" s="3" t="s">
        <v>37</v>
      </c>
      <c r="C375" s="3" t="s">
        <v>39</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35">
      <c r="A376" s="3">
        <v>16179</v>
      </c>
      <c r="B376" s="3" t="s">
        <v>37</v>
      </c>
      <c r="C376" s="3" t="s">
        <v>38</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35">
      <c r="A377" s="3">
        <v>15628</v>
      </c>
      <c r="B377" s="3" t="s">
        <v>36</v>
      </c>
      <c r="C377" s="3" t="s">
        <v>38</v>
      </c>
      <c r="D377" s="5">
        <v>40000</v>
      </c>
      <c r="E377" s="3">
        <v>1</v>
      </c>
      <c r="F377" s="3" t="s">
        <v>13</v>
      </c>
      <c r="G377" s="3" t="s">
        <v>14</v>
      </c>
      <c r="H377" s="3" t="s">
        <v>15</v>
      </c>
      <c r="I377" s="3">
        <v>1</v>
      </c>
      <c r="J377" s="3" t="s">
        <v>16</v>
      </c>
      <c r="K377" s="3" t="s">
        <v>17</v>
      </c>
      <c r="L377" s="3">
        <v>89</v>
      </c>
      <c r="M377" s="3" t="str">
        <f t="shared" si="5"/>
        <v>Old</v>
      </c>
      <c r="N377" s="3" t="s">
        <v>18</v>
      </c>
    </row>
    <row r="378" spans="1:14" x14ac:dyDescent="0.35">
      <c r="A378" s="3">
        <v>20977</v>
      </c>
      <c r="B378" s="3" t="s">
        <v>36</v>
      </c>
      <c r="C378" s="3" t="s">
        <v>39</v>
      </c>
      <c r="D378" s="5">
        <v>20000</v>
      </c>
      <c r="E378" s="3">
        <v>1</v>
      </c>
      <c r="F378" s="3" t="s">
        <v>13</v>
      </c>
      <c r="G378" s="3" t="s">
        <v>20</v>
      </c>
      <c r="H378" s="3" t="s">
        <v>15</v>
      </c>
      <c r="I378" s="3">
        <v>0</v>
      </c>
      <c r="J378" s="3" t="s">
        <v>16</v>
      </c>
      <c r="K378" s="3" t="s">
        <v>17</v>
      </c>
      <c r="L378" s="3">
        <v>64</v>
      </c>
      <c r="M378" s="3" t="str">
        <f t="shared" si="5"/>
        <v>Old</v>
      </c>
      <c r="N378" s="3" t="s">
        <v>15</v>
      </c>
    </row>
    <row r="379" spans="1:14" x14ac:dyDescent="0.35">
      <c r="A379" s="3">
        <v>18140</v>
      </c>
      <c r="B379" s="3" t="s">
        <v>36</v>
      </c>
      <c r="C379" s="3" t="s">
        <v>39</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35">
      <c r="A380" s="3">
        <v>20417</v>
      </c>
      <c r="B380" s="3" t="s">
        <v>36</v>
      </c>
      <c r="C380" s="3" t="s">
        <v>39</v>
      </c>
      <c r="D380" s="5">
        <v>30000</v>
      </c>
      <c r="E380" s="3">
        <v>3</v>
      </c>
      <c r="F380" s="3" t="s">
        <v>19</v>
      </c>
      <c r="G380" s="3" t="s">
        <v>20</v>
      </c>
      <c r="H380" s="3" t="s">
        <v>18</v>
      </c>
      <c r="I380" s="3">
        <v>2</v>
      </c>
      <c r="J380" s="3" t="s">
        <v>23</v>
      </c>
      <c r="K380" s="3" t="s">
        <v>24</v>
      </c>
      <c r="L380" s="3">
        <v>56</v>
      </c>
      <c r="M380" s="3" t="str">
        <f t="shared" si="5"/>
        <v>Old</v>
      </c>
      <c r="N380" s="3" t="s">
        <v>18</v>
      </c>
    </row>
    <row r="381" spans="1:14" x14ac:dyDescent="0.35">
      <c r="A381" s="3">
        <v>18267</v>
      </c>
      <c r="B381" s="3" t="s">
        <v>36</v>
      </c>
      <c r="C381" s="3" t="s">
        <v>39</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35">
      <c r="A382" s="3">
        <v>13620</v>
      </c>
      <c r="B382" s="3" t="s">
        <v>37</v>
      </c>
      <c r="C382" s="3" t="s">
        <v>39</v>
      </c>
      <c r="D382" s="5">
        <v>70000</v>
      </c>
      <c r="E382" s="3">
        <v>0</v>
      </c>
      <c r="F382" s="3" t="s">
        <v>13</v>
      </c>
      <c r="G382" s="3" t="s">
        <v>21</v>
      </c>
      <c r="H382" s="3" t="s">
        <v>18</v>
      </c>
      <c r="I382" s="3">
        <v>3</v>
      </c>
      <c r="J382" s="3" t="s">
        <v>46</v>
      </c>
      <c r="K382" s="3" t="s">
        <v>24</v>
      </c>
      <c r="L382" s="3">
        <v>30</v>
      </c>
      <c r="M382" s="3" t="str">
        <f t="shared" si="5"/>
        <v>Adolescent</v>
      </c>
      <c r="N382" s="3" t="s">
        <v>15</v>
      </c>
    </row>
    <row r="383" spans="1:14" x14ac:dyDescent="0.35">
      <c r="A383" s="3">
        <v>22974</v>
      </c>
      <c r="B383" s="3" t="s">
        <v>36</v>
      </c>
      <c r="C383" s="3" t="s">
        <v>38</v>
      </c>
      <c r="D383" s="5">
        <v>30000</v>
      </c>
      <c r="E383" s="3">
        <v>2</v>
      </c>
      <c r="F383" s="3" t="s">
        <v>19</v>
      </c>
      <c r="G383" s="3" t="s">
        <v>20</v>
      </c>
      <c r="H383" s="3" t="s">
        <v>15</v>
      </c>
      <c r="I383" s="3">
        <v>2</v>
      </c>
      <c r="J383" s="3" t="s">
        <v>23</v>
      </c>
      <c r="K383" s="3" t="s">
        <v>24</v>
      </c>
      <c r="L383" s="3">
        <v>69</v>
      </c>
      <c r="M383" s="3" t="str">
        <f t="shared" si="5"/>
        <v>Old</v>
      </c>
      <c r="N383" s="3" t="s">
        <v>18</v>
      </c>
    </row>
    <row r="384" spans="1:14" x14ac:dyDescent="0.35">
      <c r="A384" s="3">
        <v>13586</v>
      </c>
      <c r="B384" s="3" t="s">
        <v>36</v>
      </c>
      <c r="C384" s="3" t="s">
        <v>39</v>
      </c>
      <c r="D384" s="5">
        <v>80000</v>
      </c>
      <c r="E384" s="3">
        <v>4</v>
      </c>
      <c r="F384" s="3" t="s">
        <v>19</v>
      </c>
      <c r="G384" s="3" t="s">
        <v>21</v>
      </c>
      <c r="H384" s="3" t="s">
        <v>15</v>
      </c>
      <c r="I384" s="3">
        <v>2</v>
      </c>
      <c r="J384" s="3" t="s">
        <v>46</v>
      </c>
      <c r="K384" s="3" t="s">
        <v>17</v>
      </c>
      <c r="L384" s="3">
        <v>53</v>
      </c>
      <c r="M384" s="3" t="str">
        <f t="shared" si="5"/>
        <v>Middle Age</v>
      </c>
      <c r="N384" s="3" t="s">
        <v>18</v>
      </c>
    </row>
    <row r="385" spans="1:14" x14ac:dyDescent="0.35">
      <c r="A385" s="3">
        <v>17978</v>
      </c>
      <c r="B385" s="3" t="s">
        <v>36</v>
      </c>
      <c r="C385" s="3" t="s">
        <v>39</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35">
      <c r="A386" s="3">
        <v>12581</v>
      </c>
      <c r="B386" s="3" t="s">
        <v>37</v>
      </c>
      <c r="C386" s="3" t="s">
        <v>38</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35">
      <c r="A387" s="3">
        <v>18018</v>
      </c>
      <c r="B387" s="3" t="s">
        <v>37</v>
      </c>
      <c r="C387" s="3" t="s">
        <v>39</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35">
      <c r="A388" s="3">
        <v>28957</v>
      </c>
      <c r="B388" s="3" t="s">
        <v>37</v>
      </c>
      <c r="C388" s="3" t="s">
        <v>38</v>
      </c>
      <c r="D388" s="5">
        <v>120000</v>
      </c>
      <c r="E388" s="3">
        <v>0</v>
      </c>
      <c r="F388" s="3" t="s">
        <v>29</v>
      </c>
      <c r="G388" s="3" t="s">
        <v>21</v>
      </c>
      <c r="H388" s="3" t="s">
        <v>15</v>
      </c>
      <c r="I388" s="3">
        <v>4</v>
      </c>
      <c r="J388" s="3" t="s">
        <v>46</v>
      </c>
      <c r="K388" s="3" t="s">
        <v>24</v>
      </c>
      <c r="L388" s="3">
        <v>34</v>
      </c>
      <c r="M388" s="3" t="str">
        <f t="shared" si="6"/>
        <v>Middle Age</v>
      </c>
      <c r="N388" s="3" t="s">
        <v>15</v>
      </c>
    </row>
    <row r="389" spans="1:14" x14ac:dyDescent="0.35">
      <c r="A389" s="3">
        <v>13690</v>
      </c>
      <c r="B389" s="3" t="s">
        <v>37</v>
      </c>
      <c r="C389" s="3" t="s">
        <v>38</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35">
      <c r="A390" s="3">
        <v>12568</v>
      </c>
      <c r="B390" s="3" t="s">
        <v>36</v>
      </c>
      <c r="C390" s="3" t="s">
        <v>38</v>
      </c>
      <c r="D390" s="5">
        <v>30000</v>
      </c>
      <c r="E390" s="3">
        <v>1</v>
      </c>
      <c r="F390" s="3" t="s">
        <v>13</v>
      </c>
      <c r="G390" s="3" t="s">
        <v>20</v>
      </c>
      <c r="H390" s="3" t="s">
        <v>15</v>
      </c>
      <c r="I390" s="3">
        <v>0</v>
      </c>
      <c r="J390" s="3" t="s">
        <v>16</v>
      </c>
      <c r="K390" s="3" t="s">
        <v>17</v>
      </c>
      <c r="L390" s="3">
        <v>64</v>
      </c>
      <c r="M390" s="3" t="str">
        <f t="shared" si="6"/>
        <v>Old</v>
      </c>
      <c r="N390" s="3" t="s">
        <v>18</v>
      </c>
    </row>
    <row r="391" spans="1:14" x14ac:dyDescent="0.35">
      <c r="A391" s="3">
        <v>13122</v>
      </c>
      <c r="B391" s="3" t="s">
        <v>36</v>
      </c>
      <c r="C391" s="3" t="s">
        <v>38</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35">
      <c r="A392" s="3">
        <v>21184</v>
      </c>
      <c r="B392" s="3" t="s">
        <v>37</v>
      </c>
      <c r="C392" s="3" t="s">
        <v>39</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35">
      <c r="A393" s="3">
        <v>26150</v>
      </c>
      <c r="B393" s="3" t="s">
        <v>37</v>
      </c>
      <c r="C393" s="3" t="s">
        <v>38</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35">
      <c r="A394" s="3">
        <v>24151</v>
      </c>
      <c r="B394" s="3" t="s">
        <v>37</v>
      </c>
      <c r="C394" s="3" t="s">
        <v>39</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35">
      <c r="A395" s="3">
        <v>23962</v>
      </c>
      <c r="B395" s="3" t="s">
        <v>36</v>
      </c>
      <c r="C395" s="3" t="s">
        <v>38</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35">
      <c r="A396" s="3">
        <v>17793</v>
      </c>
      <c r="B396" s="3" t="s">
        <v>36</v>
      </c>
      <c r="C396" s="3" t="s">
        <v>38</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35">
      <c r="A397" s="3">
        <v>14926</v>
      </c>
      <c r="B397" s="3" t="s">
        <v>36</v>
      </c>
      <c r="C397" s="3" t="s">
        <v>39</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35">
      <c r="A398" s="3">
        <v>16163</v>
      </c>
      <c r="B398" s="3" t="s">
        <v>37</v>
      </c>
      <c r="C398" s="3" t="s">
        <v>39</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35">
      <c r="A399" s="3">
        <v>21365</v>
      </c>
      <c r="B399" s="3" t="s">
        <v>36</v>
      </c>
      <c r="C399" s="3" t="s">
        <v>38</v>
      </c>
      <c r="D399" s="5">
        <v>10000</v>
      </c>
      <c r="E399" s="3">
        <v>2</v>
      </c>
      <c r="F399" s="3" t="s">
        <v>29</v>
      </c>
      <c r="G399" s="3" t="s">
        <v>20</v>
      </c>
      <c r="H399" s="3" t="s">
        <v>15</v>
      </c>
      <c r="I399" s="3">
        <v>2</v>
      </c>
      <c r="J399" s="3" t="s">
        <v>23</v>
      </c>
      <c r="K399" s="3" t="s">
        <v>24</v>
      </c>
      <c r="L399" s="3">
        <v>58</v>
      </c>
      <c r="M399" s="3" t="str">
        <f t="shared" si="6"/>
        <v>Old</v>
      </c>
      <c r="N399" s="3" t="s">
        <v>18</v>
      </c>
    </row>
    <row r="400" spans="1:14" x14ac:dyDescent="0.35">
      <c r="A400" s="3">
        <v>27771</v>
      </c>
      <c r="B400" s="3" t="s">
        <v>37</v>
      </c>
      <c r="C400" s="3" t="s">
        <v>39</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35">
      <c r="A401" s="3">
        <v>26167</v>
      </c>
      <c r="B401" s="3" t="s">
        <v>37</v>
      </c>
      <c r="C401" s="3" t="s">
        <v>38</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35">
      <c r="A402" s="3">
        <v>25792</v>
      </c>
      <c r="B402" s="3" t="s">
        <v>37</v>
      </c>
      <c r="C402" s="3" t="s">
        <v>38</v>
      </c>
      <c r="D402" s="5">
        <v>110000</v>
      </c>
      <c r="E402" s="3">
        <v>3</v>
      </c>
      <c r="F402" s="3" t="s">
        <v>13</v>
      </c>
      <c r="G402" s="3" t="s">
        <v>28</v>
      </c>
      <c r="H402" s="3" t="s">
        <v>15</v>
      </c>
      <c r="I402" s="3">
        <v>4</v>
      </c>
      <c r="J402" s="3" t="s">
        <v>46</v>
      </c>
      <c r="K402" s="3" t="s">
        <v>17</v>
      </c>
      <c r="L402" s="3">
        <v>53</v>
      </c>
      <c r="M402" s="3" t="str">
        <f t="shared" si="6"/>
        <v>Middle Age</v>
      </c>
      <c r="N402" s="3" t="s">
        <v>18</v>
      </c>
    </row>
    <row r="403" spans="1:14" x14ac:dyDescent="0.35">
      <c r="A403" s="3">
        <v>11555</v>
      </c>
      <c r="B403" s="3" t="s">
        <v>36</v>
      </c>
      <c r="C403" s="3" t="s">
        <v>38</v>
      </c>
      <c r="D403" s="5">
        <v>40000</v>
      </c>
      <c r="E403" s="3">
        <v>1</v>
      </c>
      <c r="F403" s="3" t="s">
        <v>13</v>
      </c>
      <c r="G403" s="3" t="s">
        <v>20</v>
      </c>
      <c r="H403" s="3" t="s">
        <v>15</v>
      </c>
      <c r="I403" s="3">
        <v>0</v>
      </c>
      <c r="J403" s="3" t="s">
        <v>16</v>
      </c>
      <c r="K403" s="3" t="s">
        <v>17</v>
      </c>
      <c r="L403" s="3">
        <v>80</v>
      </c>
      <c r="M403" s="3" t="str">
        <f t="shared" si="6"/>
        <v>Old</v>
      </c>
      <c r="N403" s="3" t="s">
        <v>18</v>
      </c>
    </row>
    <row r="404" spans="1:14" x14ac:dyDescent="0.35">
      <c r="A404" s="3">
        <v>22381</v>
      </c>
      <c r="B404" s="3" t="s">
        <v>36</v>
      </c>
      <c r="C404" s="3" t="s">
        <v>39</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35">
      <c r="A405" s="3">
        <v>17882</v>
      </c>
      <c r="B405" s="3" t="s">
        <v>36</v>
      </c>
      <c r="C405" s="3" t="s">
        <v>39</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35">
      <c r="A406" s="3">
        <v>22174</v>
      </c>
      <c r="B406" s="3" t="s">
        <v>36</v>
      </c>
      <c r="C406" s="3" t="s">
        <v>39</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35">
      <c r="A407" s="3">
        <v>22439</v>
      </c>
      <c r="B407" s="3" t="s">
        <v>36</v>
      </c>
      <c r="C407" s="3" t="s">
        <v>38</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35">
      <c r="A408" s="3">
        <v>18012</v>
      </c>
      <c r="B408" s="3" t="s">
        <v>36</v>
      </c>
      <c r="C408" s="3" t="s">
        <v>38</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35">
      <c r="A409" s="3">
        <v>27582</v>
      </c>
      <c r="B409" s="3" t="s">
        <v>37</v>
      </c>
      <c r="C409" s="3" t="s">
        <v>38</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35">
      <c r="A410" s="3">
        <v>12744</v>
      </c>
      <c r="B410" s="3" t="s">
        <v>37</v>
      </c>
      <c r="C410" s="3" t="s">
        <v>38</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35">
      <c r="A411" s="3">
        <v>22821</v>
      </c>
      <c r="B411" s="3" t="s">
        <v>36</v>
      </c>
      <c r="C411" s="3" t="s">
        <v>38</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35">
      <c r="A412" s="3">
        <v>20171</v>
      </c>
      <c r="B412" s="3" t="s">
        <v>36</v>
      </c>
      <c r="C412" s="3" t="s">
        <v>38</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35">
      <c r="A413" s="3">
        <v>11116</v>
      </c>
      <c r="B413" s="3" t="s">
        <v>36</v>
      </c>
      <c r="C413" s="3" t="s">
        <v>39</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35">
      <c r="A414" s="3">
        <v>20053</v>
      </c>
      <c r="B414" s="3" t="s">
        <v>37</v>
      </c>
      <c r="C414" s="3" t="s">
        <v>39</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35">
      <c r="A415" s="3">
        <v>25266</v>
      </c>
      <c r="B415" s="3" t="s">
        <v>37</v>
      </c>
      <c r="C415" s="3" t="s">
        <v>38</v>
      </c>
      <c r="D415" s="5">
        <v>30000</v>
      </c>
      <c r="E415" s="3">
        <v>2</v>
      </c>
      <c r="F415" s="3" t="s">
        <v>19</v>
      </c>
      <c r="G415" s="3" t="s">
        <v>20</v>
      </c>
      <c r="H415" s="3" t="s">
        <v>18</v>
      </c>
      <c r="I415" s="3">
        <v>2</v>
      </c>
      <c r="J415" s="3" t="s">
        <v>23</v>
      </c>
      <c r="K415" s="3" t="s">
        <v>24</v>
      </c>
      <c r="L415" s="3">
        <v>67</v>
      </c>
      <c r="M415" s="3" t="str">
        <f t="shared" si="6"/>
        <v>Old</v>
      </c>
      <c r="N415" s="3" t="s">
        <v>18</v>
      </c>
    </row>
    <row r="416" spans="1:14" x14ac:dyDescent="0.35">
      <c r="A416" s="3">
        <v>17960</v>
      </c>
      <c r="B416" s="3" t="s">
        <v>36</v>
      </c>
      <c r="C416" s="3" t="s">
        <v>38</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35">
      <c r="A417" s="3">
        <v>13961</v>
      </c>
      <c r="B417" s="3" t="s">
        <v>36</v>
      </c>
      <c r="C417" s="3" t="s">
        <v>38</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35">
      <c r="A418" s="3">
        <v>11897</v>
      </c>
      <c r="B418" s="3" t="s">
        <v>37</v>
      </c>
      <c r="C418" s="3" t="s">
        <v>39</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35">
      <c r="A419" s="3">
        <v>11139</v>
      </c>
      <c r="B419" s="3" t="s">
        <v>37</v>
      </c>
      <c r="C419" s="3" t="s">
        <v>38</v>
      </c>
      <c r="D419" s="5">
        <v>30000</v>
      </c>
      <c r="E419" s="3">
        <v>2</v>
      </c>
      <c r="F419" s="3" t="s">
        <v>19</v>
      </c>
      <c r="G419" s="3" t="s">
        <v>20</v>
      </c>
      <c r="H419" s="3" t="s">
        <v>18</v>
      </c>
      <c r="I419" s="3">
        <v>2</v>
      </c>
      <c r="J419" s="3" t="s">
        <v>23</v>
      </c>
      <c r="K419" s="3" t="s">
        <v>24</v>
      </c>
      <c r="L419" s="3">
        <v>67</v>
      </c>
      <c r="M419" s="3" t="str">
        <f t="shared" si="6"/>
        <v>Old</v>
      </c>
      <c r="N419" s="3" t="s">
        <v>18</v>
      </c>
    </row>
    <row r="420" spans="1:14" x14ac:dyDescent="0.35">
      <c r="A420" s="3">
        <v>11576</v>
      </c>
      <c r="B420" s="3" t="s">
        <v>36</v>
      </c>
      <c r="C420" s="3" t="s">
        <v>39</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35">
      <c r="A421" s="3">
        <v>19255</v>
      </c>
      <c r="B421" s="3" t="s">
        <v>37</v>
      </c>
      <c r="C421" s="3" t="s">
        <v>39</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35">
      <c r="A422" s="3">
        <v>18153</v>
      </c>
      <c r="B422" s="3" t="s">
        <v>36</v>
      </c>
      <c r="C422" s="3" t="s">
        <v>38</v>
      </c>
      <c r="D422" s="5">
        <v>100000</v>
      </c>
      <c r="E422" s="3">
        <v>2</v>
      </c>
      <c r="F422" s="3" t="s">
        <v>13</v>
      </c>
      <c r="G422" s="3" t="s">
        <v>28</v>
      </c>
      <c r="H422" s="3" t="s">
        <v>15</v>
      </c>
      <c r="I422" s="3">
        <v>4</v>
      </c>
      <c r="J422" s="3" t="s">
        <v>46</v>
      </c>
      <c r="K422" s="3" t="s">
        <v>17</v>
      </c>
      <c r="L422" s="3">
        <v>59</v>
      </c>
      <c r="M422" s="3" t="str">
        <f t="shared" si="6"/>
        <v>Old</v>
      </c>
      <c r="N422" s="3" t="s">
        <v>18</v>
      </c>
    </row>
    <row r="423" spans="1:14" x14ac:dyDescent="0.35">
      <c r="A423" s="3">
        <v>14547</v>
      </c>
      <c r="B423" s="3" t="s">
        <v>36</v>
      </c>
      <c r="C423" s="3" t="s">
        <v>39</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35">
      <c r="A424" s="3">
        <v>24901</v>
      </c>
      <c r="B424" s="3" t="s">
        <v>37</v>
      </c>
      <c r="C424" s="3" t="s">
        <v>39</v>
      </c>
      <c r="D424" s="5">
        <v>110000</v>
      </c>
      <c r="E424" s="3">
        <v>0</v>
      </c>
      <c r="F424" s="3" t="s">
        <v>19</v>
      </c>
      <c r="G424" s="3" t="s">
        <v>28</v>
      </c>
      <c r="H424" s="3" t="s">
        <v>18</v>
      </c>
      <c r="I424" s="3">
        <v>3</v>
      </c>
      <c r="J424" s="3" t="s">
        <v>46</v>
      </c>
      <c r="K424" s="3" t="s">
        <v>24</v>
      </c>
      <c r="L424" s="3">
        <v>32</v>
      </c>
      <c r="M424" s="3" t="str">
        <f t="shared" si="6"/>
        <v>Middle Age</v>
      </c>
      <c r="N424" s="3" t="s">
        <v>15</v>
      </c>
    </row>
    <row r="425" spans="1:14" x14ac:dyDescent="0.35">
      <c r="A425" s="3">
        <v>27169</v>
      </c>
      <c r="B425" s="3" t="s">
        <v>37</v>
      </c>
      <c r="C425" s="3" t="s">
        <v>39</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35">
      <c r="A426" s="3">
        <v>14805</v>
      </c>
      <c r="B426" s="3" t="s">
        <v>37</v>
      </c>
      <c r="C426" s="3" t="s">
        <v>38</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35">
      <c r="A427" s="3">
        <v>15822</v>
      </c>
      <c r="B427" s="3" t="s">
        <v>36</v>
      </c>
      <c r="C427" s="3" t="s">
        <v>39</v>
      </c>
      <c r="D427" s="5">
        <v>40000</v>
      </c>
      <c r="E427" s="3">
        <v>2</v>
      </c>
      <c r="F427" s="3" t="s">
        <v>13</v>
      </c>
      <c r="G427" s="3" t="s">
        <v>28</v>
      </c>
      <c r="H427" s="3" t="s">
        <v>15</v>
      </c>
      <c r="I427" s="3">
        <v>2</v>
      </c>
      <c r="J427" s="3" t="s">
        <v>16</v>
      </c>
      <c r="K427" s="3" t="s">
        <v>24</v>
      </c>
      <c r="L427" s="3">
        <v>67</v>
      </c>
      <c r="M427" s="3" t="str">
        <f t="shared" si="6"/>
        <v>Old</v>
      </c>
      <c r="N427" s="3" t="s">
        <v>18</v>
      </c>
    </row>
    <row r="428" spans="1:14" x14ac:dyDescent="0.35">
      <c r="A428" s="3">
        <v>19389</v>
      </c>
      <c r="B428" s="3" t="s">
        <v>37</v>
      </c>
      <c r="C428" s="3" t="s">
        <v>39</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35">
      <c r="A429" s="3">
        <v>17048</v>
      </c>
      <c r="B429" s="3" t="s">
        <v>37</v>
      </c>
      <c r="C429" s="3" t="s">
        <v>38</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35">
      <c r="A430" s="3">
        <v>22204</v>
      </c>
      <c r="B430" s="3" t="s">
        <v>36</v>
      </c>
      <c r="C430" s="3" t="s">
        <v>39</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35">
      <c r="A431" s="3">
        <v>12718</v>
      </c>
      <c r="B431" s="3" t="s">
        <v>37</v>
      </c>
      <c r="C431" s="3" t="s">
        <v>38</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35">
      <c r="A432" s="3">
        <v>15019</v>
      </c>
      <c r="B432" s="3" t="s">
        <v>37</v>
      </c>
      <c r="C432" s="3" t="s">
        <v>38</v>
      </c>
      <c r="D432" s="5">
        <v>30000</v>
      </c>
      <c r="E432" s="3">
        <v>3</v>
      </c>
      <c r="F432" s="3" t="s">
        <v>27</v>
      </c>
      <c r="G432" s="3" t="s">
        <v>14</v>
      </c>
      <c r="H432" s="3" t="s">
        <v>15</v>
      </c>
      <c r="I432" s="3">
        <v>2</v>
      </c>
      <c r="J432" s="3" t="s">
        <v>23</v>
      </c>
      <c r="K432" s="3" t="s">
        <v>24</v>
      </c>
      <c r="L432" s="3">
        <v>55</v>
      </c>
      <c r="M432" s="3" t="str">
        <f t="shared" si="6"/>
        <v>Old</v>
      </c>
      <c r="N432" s="3" t="s">
        <v>18</v>
      </c>
    </row>
    <row r="433" spans="1:14" x14ac:dyDescent="0.35">
      <c r="A433" s="3">
        <v>28488</v>
      </c>
      <c r="B433" s="3" t="s">
        <v>37</v>
      </c>
      <c r="C433" s="3" t="s">
        <v>39</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35">
      <c r="A434" s="3">
        <v>21891</v>
      </c>
      <c r="B434" s="3" t="s">
        <v>36</v>
      </c>
      <c r="C434" s="3" t="s">
        <v>38</v>
      </c>
      <c r="D434" s="5">
        <v>110000</v>
      </c>
      <c r="E434" s="3">
        <v>0</v>
      </c>
      <c r="F434" s="3" t="s">
        <v>27</v>
      </c>
      <c r="G434" s="3" t="s">
        <v>28</v>
      </c>
      <c r="H434" s="3" t="s">
        <v>15</v>
      </c>
      <c r="I434" s="3">
        <v>3</v>
      </c>
      <c r="J434" s="3" t="s">
        <v>46</v>
      </c>
      <c r="K434" s="3" t="s">
        <v>24</v>
      </c>
      <c r="L434" s="3">
        <v>34</v>
      </c>
      <c r="M434" s="3" t="str">
        <f t="shared" si="6"/>
        <v>Middle Age</v>
      </c>
      <c r="N434" s="3" t="s">
        <v>15</v>
      </c>
    </row>
    <row r="435" spans="1:14" x14ac:dyDescent="0.35">
      <c r="A435" s="3">
        <v>27814</v>
      </c>
      <c r="B435" s="3" t="s">
        <v>37</v>
      </c>
      <c r="C435" s="3" t="s">
        <v>38</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35">
      <c r="A436" s="3">
        <v>22175</v>
      </c>
      <c r="B436" s="3" t="s">
        <v>36</v>
      </c>
      <c r="C436" s="3" t="s">
        <v>38</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35">
      <c r="A437" s="3">
        <v>29447</v>
      </c>
      <c r="B437" s="3" t="s">
        <v>37</v>
      </c>
      <c r="C437" s="3" t="s">
        <v>38</v>
      </c>
      <c r="D437" s="5">
        <v>10000</v>
      </c>
      <c r="E437" s="3">
        <v>2</v>
      </c>
      <c r="F437" s="3" t="s">
        <v>13</v>
      </c>
      <c r="G437" s="3" t="s">
        <v>20</v>
      </c>
      <c r="H437" s="3" t="s">
        <v>18</v>
      </c>
      <c r="I437" s="3">
        <v>1</v>
      </c>
      <c r="J437" s="3" t="s">
        <v>22</v>
      </c>
      <c r="K437" s="3" t="s">
        <v>17</v>
      </c>
      <c r="L437" s="3">
        <v>68</v>
      </c>
      <c r="M437" s="3" t="str">
        <f t="shared" si="6"/>
        <v>Old</v>
      </c>
      <c r="N437" s="3" t="s">
        <v>18</v>
      </c>
    </row>
    <row r="438" spans="1:14" x14ac:dyDescent="0.35">
      <c r="A438" s="3">
        <v>19784</v>
      </c>
      <c r="B438" s="3" t="s">
        <v>36</v>
      </c>
      <c r="C438" s="3" t="s">
        <v>38</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35">
      <c r="A439" s="3">
        <v>27824</v>
      </c>
      <c r="B439" s="3" t="s">
        <v>37</v>
      </c>
      <c r="C439" s="3" t="s">
        <v>38</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35">
      <c r="A440" s="3">
        <v>24093</v>
      </c>
      <c r="B440" s="3" t="s">
        <v>37</v>
      </c>
      <c r="C440" s="3" t="s">
        <v>38</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35">
      <c r="A441" s="3">
        <v>19618</v>
      </c>
      <c r="B441" s="3" t="s">
        <v>36</v>
      </c>
      <c r="C441" s="3" t="s">
        <v>39</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35">
      <c r="A442" s="3">
        <v>21561</v>
      </c>
      <c r="B442" s="3" t="s">
        <v>37</v>
      </c>
      <c r="C442" s="3" t="s">
        <v>39</v>
      </c>
      <c r="D442" s="5">
        <v>90000</v>
      </c>
      <c r="E442" s="3">
        <v>0</v>
      </c>
      <c r="F442" s="3" t="s">
        <v>13</v>
      </c>
      <c r="G442" s="3" t="s">
        <v>21</v>
      </c>
      <c r="H442" s="3" t="s">
        <v>18</v>
      </c>
      <c r="I442" s="3">
        <v>3</v>
      </c>
      <c r="J442" s="3" t="s">
        <v>46</v>
      </c>
      <c r="K442" s="3" t="s">
        <v>24</v>
      </c>
      <c r="L442" s="3">
        <v>34</v>
      </c>
      <c r="M442" s="3" t="str">
        <f t="shared" si="6"/>
        <v>Middle Age</v>
      </c>
      <c r="N442" s="3" t="s">
        <v>15</v>
      </c>
    </row>
    <row r="443" spans="1:14" x14ac:dyDescent="0.35">
      <c r="A443" s="3">
        <v>11061</v>
      </c>
      <c r="B443" s="3" t="s">
        <v>36</v>
      </c>
      <c r="C443" s="3" t="s">
        <v>39</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35">
      <c r="A444" s="3">
        <v>26651</v>
      </c>
      <c r="B444" s="3" t="s">
        <v>37</v>
      </c>
      <c r="C444" s="3" t="s">
        <v>39</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35">
      <c r="A445" s="3">
        <v>21108</v>
      </c>
      <c r="B445" s="3" t="s">
        <v>36</v>
      </c>
      <c r="C445" s="3" t="s">
        <v>38</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35">
      <c r="A446" s="3">
        <v>12731</v>
      </c>
      <c r="B446" s="3" t="s">
        <v>37</v>
      </c>
      <c r="C446" s="3" t="s">
        <v>39</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35">
      <c r="A447" s="3">
        <v>25307</v>
      </c>
      <c r="B447" s="3" t="s">
        <v>36</v>
      </c>
      <c r="C447" s="3" t="s">
        <v>38</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35">
      <c r="A448" s="3">
        <v>14278</v>
      </c>
      <c r="B448" s="3" t="s">
        <v>36</v>
      </c>
      <c r="C448" s="3" t="s">
        <v>38</v>
      </c>
      <c r="D448" s="5">
        <v>130000</v>
      </c>
      <c r="E448" s="3">
        <v>0</v>
      </c>
      <c r="F448" s="3" t="s">
        <v>31</v>
      </c>
      <c r="G448" s="3" t="s">
        <v>28</v>
      </c>
      <c r="H448" s="3" t="s">
        <v>15</v>
      </c>
      <c r="I448" s="3">
        <v>1</v>
      </c>
      <c r="J448" s="3" t="s">
        <v>46</v>
      </c>
      <c r="K448" s="3" t="s">
        <v>24</v>
      </c>
      <c r="L448" s="3">
        <v>48</v>
      </c>
      <c r="M448" s="3" t="str">
        <f t="shared" si="6"/>
        <v>Middle Age</v>
      </c>
      <c r="N448" s="3" t="s">
        <v>18</v>
      </c>
    </row>
    <row r="449" spans="1:14" x14ac:dyDescent="0.35">
      <c r="A449" s="3">
        <v>20711</v>
      </c>
      <c r="B449" s="3" t="s">
        <v>36</v>
      </c>
      <c r="C449" s="3" t="s">
        <v>38</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35">
      <c r="A450" s="3">
        <v>11383</v>
      </c>
      <c r="B450" s="3" t="s">
        <v>36</v>
      </c>
      <c r="C450" s="3" t="s">
        <v>38</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35">
      <c r="A451" s="3">
        <v>12497</v>
      </c>
      <c r="B451" s="3" t="s">
        <v>36</v>
      </c>
      <c r="C451" s="3" t="s">
        <v>38</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35">
      <c r="A452" s="3">
        <v>16559</v>
      </c>
      <c r="B452" s="3" t="s">
        <v>37</v>
      </c>
      <c r="C452" s="3" t="s">
        <v>38</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35">
      <c r="A453" s="3">
        <v>11585</v>
      </c>
      <c r="B453" s="3" t="s">
        <v>36</v>
      </c>
      <c r="C453" s="3" t="s">
        <v>38</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35">
      <c r="A454" s="3">
        <v>20277</v>
      </c>
      <c r="B454" s="3" t="s">
        <v>36</v>
      </c>
      <c r="C454" s="3" t="s">
        <v>38</v>
      </c>
      <c r="D454" s="5">
        <v>30000</v>
      </c>
      <c r="E454" s="3">
        <v>2</v>
      </c>
      <c r="F454" s="3" t="s">
        <v>19</v>
      </c>
      <c r="G454" s="3" t="s">
        <v>20</v>
      </c>
      <c r="H454" s="3" t="s">
        <v>18</v>
      </c>
      <c r="I454" s="3">
        <v>2</v>
      </c>
      <c r="J454" s="3" t="s">
        <v>16</v>
      </c>
      <c r="K454" s="3" t="s">
        <v>24</v>
      </c>
      <c r="L454" s="3">
        <v>69</v>
      </c>
      <c r="M454" s="3" t="str">
        <f t="shared" si="7"/>
        <v>Old</v>
      </c>
      <c r="N454" s="3" t="s">
        <v>18</v>
      </c>
    </row>
    <row r="455" spans="1:14" x14ac:dyDescent="0.35">
      <c r="A455" s="3">
        <v>26765</v>
      </c>
      <c r="B455" s="3" t="s">
        <v>37</v>
      </c>
      <c r="C455" s="3" t="s">
        <v>38</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35">
      <c r="A456" s="3">
        <v>12389</v>
      </c>
      <c r="B456" s="3" t="s">
        <v>37</v>
      </c>
      <c r="C456" s="3" t="s">
        <v>39</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35">
      <c r="A457" s="3">
        <v>13585</v>
      </c>
      <c r="B457" s="3" t="s">
        <v>36</v>
      </c>
      <c r="C457" s="3" t="s">
        <v>38</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35">
      <c r="A458" s="3">
        <v>26385</v>
      </c>
      <c r="B458" s="3" t="s">
        <v>37</v>
      </c>
      <c r="C458" s="3" t="s">
        <v>39</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35">
      <c r="A459" s="3">
        <v>12236</v>
      </c>
      <c r="B459" s="3" t="s">
        <v>36</v>
      </c>
      <c r="C459" s="3" t="s">
        <v>38</v>
      </c>
      <c r="D459" s="5">
        <v>20000</v>
      </c>
      <c r="E459" s="3">
        <v>1</v>
      </c>
      <c r="F459" s="3" t="s">
        <v>19</v>
      </c>
      <c r="G459" s="3" t="s">
        <v>25</v>
      </c>
      <c r="H459" s="3" t="s">
        <v>15</v>
      </c>
      <c r="I459" s="3">
        <v>0</v>
      </c>
      <c r="J459" s="3" t="s">
        <v>16</v>
      </c>
      <c r="K459" s="3" t="s">
        <v>17</v>
      </c>
      <c r="L459" s="3">
        <v>65</v>
      </c>
      <c r="M459" s="3" t="str">
        <f t="shared" si="7"/>
        <v>Old</v>
      </c>
      <c r="N459" s="3" t="s">
        <v>18</v>
      </c>
    </row>
    <row r="460" spans="1:14" x14ac:dyDescent="0.35">
      <c r="A460" s="3">
        <v>21560</v>
      </c>
      <c r="B460" s="3" t="s">
        <v>36</v>
      </c>
      <c r="C460" s="3" t="s">
        <v>39</v>
      </c>
      <c r="D460" s="5">
        <v>120000</v>
      </c>
      <c r="E460" s="3">
        <v>0</v>
      </c>
      <c r="F460" s="3" t="s">
        <v>29</v>
      </c>
      <c r="G460" s="3" t="s">
        <v>21</v>
      </c>
      <c r="H460" s="3" t="s">
        <v>15</v>
      </c>
      <c r="I460" s="3">
        <v>4</v>
      </c>
      <c r="J460" s="3" t="s">
        <v>46</v>
      </c>
      <c r="K460" s="3" t="s">
        <v>24</v>
      </c>
      <c r="L460" s="3">
        <v>32</v>
      </c>
      <c r="M460" s="3" t="str">
        <f t="shared" si="7"/>
        <v>Middle Age</v>
      </c>
      <c r="N460" s="3" t="s">
        <v>15</v>
      </c>
    </row>
    <row r="461" spans="1:14" x14ac:dyDescent="0.35">
      <c r="A461" s="3">
        <v>21554</v>
      </c>
      <c r="B461" s="3" t="s">
        <v>37</v>
      </c>
      <c r="C461" s="3" t="s">
        <v>38</v>
      </c>
      <c r="D461" s="5">
        <v>80000</v>
      </c>
      <c r="E461" s="3">
        <v>0</v>
      </c>
      <c r="F461" s="3" t="s">
        <v>13</v>
      </c>
      <c r="G461" s="3" t="s">
        <v>21</v>
      </c>
      <c r="H461" s="3" t="s">
        <v>18</v>
      </c>
      <c r="I461" s="3">
        <v>3</v>
      </c>
      <c r="J461" s="3" t="s">
        <v>46</v>
      </c>
      <c r="K461" s="3" t="s">
        <v>24</v>
      </c>
      <c r="L461" s="3">
        <v>33</v>
      </c>
      <c r="M461" s="3" t="str">
        <f t="shared" si="7"/>
        <v>Middle Age</v>
      </c>
      <c r="N461" s="3" t="s">
        <v>18</v>
      </c>
    </row>
    <row r="462" spans="1:14" x14ac:dyDescent="0.35">
      <c r="A462" s="3">
        <v>13662</v>
      </c>
      <c r="B462" s="3" t="s">
        <v>37</v>
      </c>
      <c r="C462" s="3" t="s">
        <v>39</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35">
      <c r="A463" s="3">
        <v>13089</v>
      </c>
      <c r="B463" s="3" t="s">
        <v>36</v>
      </c>
      <c r="C463" s="3" t="s">
        <v>38</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35">
      <c r="A464" s="3">
        <v>14791</v>
      </c>
      <c r="B464" s="3" t="s">
        <v>36</v>
      </c>
      <c r="C464" s="3" t="s">
        <v>38</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35">
      <c r="A465" s="3">
        <v>19331</v>
      </c>
      <c r="B465" s="3" t="s">
        <v>37</v>
      </c>
      <c r="C465" s="3" t="s">
        <v>39</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35">
      <c r="A466" s="3">
        <v>17754</v>
      </c>
      <c r="B466" s="3" t="s">
        <v>37</v>
      </c>
      <c r="C466" s="3" t="s">
        <v>38</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35">
      <c r="A467" s="3">
        <v>11149</v>
      </c>
      <c r="B467" s="3" t="s">
        <v>36</v>
      </c>
      <c r="C467" s="3" t="s">
        <v>39</v>
      </c>
      <c r="D467" s="5">
        <v>40000</v>
      </c>
      <c r="E467" s="3">
        <v>2</v>
      </c>
      <c r="F467" s="3" t="s">
        <v>13</v>
      </c>
      <c r="G467" s="3" t="s">
        <v>28</v>
      </c>
      <c r="H467" s="3" t="s">
        <v>15</v>
      </c>
      <c r="I467" s="3">
        <v>2</v>
      </c>
      <c r="J467" s="3" t="s">
        <v>16</v>
      </c>
      <c r="K467" s="3" t="s">
        <v>24</v>
      </c>
      <c r="L467" s="3">
        <v>65</v>
      </c>
      <c r="M467" s="3" t="str">
        <f t="shared" si="7"/>
        <v>Old</v>
      </c>
      <c r="N467" s="3" t="s">
        <v>18</v>
      </c>
    </row>
    <row r="468" spans="1:14" x14ac:dyDescent="0.35">
      <c r="A468" s="3">
        <v>16549</v>
      </c>
      <c r="B468" s="3" t="s">
        <v>37</v>
      </c>
      <c r="C468" s="3" t="s">
        <v>38</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35">
      <c r="A469" s="3">
        <v>24305</v>
      </c>
      <c r="B469" s="3" t="s">
        <v>37</v>
      </c>
      <c r="C469" s="3" t="s">
        <v>39</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35">
      <c r="A470" s="3">
        <v>18253</v>
      </c>
      <c r="B470" s="3" t="s">
        <v>36</v>
      </c>
      <c r="C470" s="3" t="s">
        <v>38</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35">
      <c r="A471" s="3">
        <v>20147</v>
      </c>
      <c r="B471" s="3" t="s">
        <v>36</v>
      </c>
      <c r="C471" s="3" t="s">
        <v>38</v>
      </c>
      <c r="D471" s="5">
        <v>30000</v>
      </c>
      <c r="E471" s="3">
        <v>1</v>
      </c>
      <c r="F471" s="3" t="s">
        <v>13</v>
      </c>
      <c r="G471" s="3" t="s">
        <v>20</v>
      </c>
      <c r="H471" s="3" t="s">
        <v>15</v>
      </c>
      <c r="I471" s="3">
        <v>0</v>
      </c>
      <c r="J471" s="3" t="s">
        <v>16</v>
      </c>
      <c r="K471" s="3" t="s">
        <v>17</v>
      </c>
      <c r="L471" s="3">
        <v>65</v>
      </c>
      <c r="M471" s="3" t="str">
        <f t="shared" si="7"/>
        <v>Old</v>
      </c>
      <c r="N471" s="3" t="s">
        <v>18</v>
      </c>
    </row>
    <row r="472" spans="1:14" x14ac:dyDescent="0.35">
      <c r="A472" s="3">
        <v>15612</v>
      </c>
      <c r="B472" s="3" t="s">
        <v>37</v>
      </c>
      <c r="C472" s="3" t="s">
        <v>39</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35">
      <c r="A473" s="3">
        <v>28323</v>
      </c>
      <c r="B473" s="3" t="s">
        <v>37</v>
      </c>
      <c r="C473" s="3" t="s">
        <v>39</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35">
      <c r="A474" s="3">
        <v>22634</v>
      </c>
      <c r="B474" s="3" t="s">
        <v>37</v>
      </c>
      <c r="C474" s="3" t="s">
        <v>38</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35">
      <c r="A475" s="3">
        <v>15665</v>
      </c>
      <c r="B475" s="3" t="s">
        <v>36</v>
      </c>
      <c r="C475" s="3" t="s">
        <v>38</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35">
      <c r="A476" s="3">
        <v>27585</v>
      </c>
      <c r="B476" s="3" t="s">
        <v>36</v>
      </c>
      <c r="C476" s="3" t="s">
        <v>38</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35">
      <c r="A477" s="3">
        <v>19748</v>
      </c>
      <c r="B477" s="3" t="s">
        <v>36</v>
      </c>
      <c r="C477" s="3" t="s">
        <v>39</v>
      </c>
      <c r="D477" s="5">
        <v>20000</v>
      </c>
      <c r="E477" s="3">
        <v>4</v>
      </c>
      <c r="F477" s="3" t="s">
        <v>27</v>
      </c>
      <c r="G477" s="3" t="s">
        <v>14</v>
      </c>
      <c r="H477" s="3" t="s">
        <v>18</v>
      </c>
      <c r="I477" s="3">
        <v>2</v>
      </c>
      <c r="J477" s="3" t="s">
        <v>26</v>
      </c>
      <c r="K477" s="3" t="s">
        <v>24</v>
      </c>
      <c r="L477" s="3">
        <v>60</v>
      </c>
      <c r="M477" s="3" t="str">
        <f t="shared" si="7"/>
        <v>Old</v>
      </c>
      <c r="N477" s="3" t="s">
        <v>18</v>
      </c>
    </row>
    <row r="478" spans="1:14" x14ac:dyDescent="0.35">
      <c r="A478" s="3">
        <v>21974</v>
      </c>
      <c r="B478" s="3" t="s">
        <v>37</v>
      </c>
      <c r="C478" s="3" t="s">
        <v>38</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35">
      <c r="A479" s="3">
        <v>14032</v>
      </c>
      <c r="B479" s="3" t="s">
        <v>36</v>
      </c>
      <c r="C479" s="3" t="s">
        <v>39</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35">
      <c r="A480" s="3">
        <v>22610</v>
      </c>
      <c r="B480" s="3" t="s">
        <v>36</v>
      </c>
      <c r="C480" s="3" t="s">
        <v>39</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35">
      <c r="A481" s="3">
        <v>26984</v>
      </c>
      <c r="B481" s="3" t="s">
        <v>36</v>
      </c>
      <c r="C481" s="3" t="s">
        <v>39</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35">
      <c r="A482" s="3">
        <v>18294</v>
      </c>
      <c r="B482" s="3" t="s">
        <v>36</v>
      </c>
      <c r="C482" s="3" t="s">
        <v>38</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35">
      <c r="A483" s="3">
        <v>28564</v>
      </c>
      <c r="B483" s="3" t="s">
        <v>37</v>
      </c>
      <c r="C483" s="3" t="s">
        <v>38</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35">
      <c r="A484" s="3">
        <v>28521</v>
      </c>
      <c r="B484" s="3" t="s">
        <v>37</v>
      </c>
      <c r="C484" s="3" t="s">
        <v>39</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35">
      <c r="A485" s="3">
        <v>15450</v>
      </c>
      <c r="B485" s="3" t="s">
        <v>36</v>
      </c>
      <c r="C485" s="3" t="s">
        <v>39</v>
      </c>
      <c r="D485" s="5">
        <v>10000</v>
      </c>
      <c r="E485" s="3">
        <v>1</v>
      </c>
      <c r="F485" s="3" t="s">
        <v>31</v>
      </c>
      <c r="G485" s="3" t="s">
        <v>20</v>
      </c>
      <c r="H485" s="3" t="s">
        <v>15</v>
      </c>
      <c r="I485" s="3">
        <v>0</v>
      </c>
      <c r="J485" s="3" t="s">
        <v>16</v>
      </c>
      <c r="K485" s="3" t="s">
        <v>17</v>
      </c>
      <c r="L485" s="3">
        <v>70</v>
      </c>
      <c r="M485" s="3" t="str">
        <f t="shared" si="7"/>
        <v>Old</v>
      </c>
      <c r="N485" s="3" t="s">
        <v>18</v>
      </c>
    </row>
    <row r="486" spans="1:14" x14ac:dyDescent="0.35">
      <c r="A486" s="3">
        <v>25681</v>
      </c>
      <c r="B486" s="3" t="s">
        <v>37</v>
      </c>
      <c r="C486" s="3" t="s">
        <v>38</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35">
      <c r="A487" s="3">
        <v>19491</v>
      </c>
      <c r="B487" s="3" t="s">
        <v>37</v>
      </c>
      <c r="C487" s="3" t="s">
        <v>39</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35">
      <c r="A488" s="3">
        <v>26415</v>
      </c>
      <c r="B488" s="3" t="s">
        <v>36</v>
      </c>
      <c r="C488" s="3" t="s">
        <v>38</v>
      </c>
      <c r="D488" s="5">
        <v>90000</v>
      </c>
      <c r="E488" s="3">
        <v>4</v>
      </c>
      <c r="F488" s="3" t="s">
        <v>29</v>
      </c>
      <c r="G488" s="3" t="s">
        <v>14</v>
      </c>
      <c r="H488" s="3" t="s">
        <v>15</v>
      </c>
      <c r="I488" s="3">
        <v>4</v>
      </c>
      <c r="J488" s="3" t="s">
        <v>46</v>
      </c>
      <c r="K488" s="3" t="s">
        <v>17</v>
      </c>
      <c r="L488" s="3">
        <v>58</v>
      </c>
      <c r="M488" s="3" t="str">
        <f t="shared" si="7"/>
        <v>Old</v>
      </c>
      <c r="N488" s="3" t="s">
        <v>18</v>
      </c>
    </row>
    <row r="489" spans="1:14" x14ac:dyDescent="0.35">
      <c r="A489" s="3">
        <v>12821</v>
      </c>
      <c r="B489" s="3" t="s">
        <v>36</v>
      </c>
      <c r="C489" s="3" t="s">
        <v>39</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35">
      <c r="A490" s="3">
        <v>15629</v>
      </c>
      <c r="B490" s="3" t="s">
        <v>37</v>
      </c>
      <c r="C490" s="3" t="s">
        <v>38</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35">
      <c r="A491" s="3">
        <v>27835</v>
      </c>
      <c r="B491" s="3" t="s">
        <v>36</v>
      </c>
      <c r="C491" s="3" t="s">
        <v>39</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35">
      <c r="A492" s="3">
        <v>11738</v>
      </c>
      <c r="B492" s="3" t="s">
        <v>36</v>
      </c>
      <c r="C492" s="3" t="s">
        <v>39</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35">
      <c r="A493" s="3">
        <v>25065</v>
      </c>
      <c r="B493" s="3" t="s">
        <v>36</v>
      </c>
      <c r="C493" s="3" t="s">
        <v>39</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35">
      <c r="A494" s="3">
        <v>26238</v>
      </c>
      <c r="B494" s="3" t="s">
        <v>37</v>
      </c>
      <c r="C494" s="3" t="s">
        <v>38</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35">
      <c r="A495" s="3">
        <v>23707</v>
      </c>
      <c r="B495" s="3" t="s">
        <v>37</v>
      </c>
      <c r="C495" s="3" t="s">
        <v>39</v>
      </c>
      <c r="D495" s="5">
        <v>70000</v>
      </c>
      <c r="E495" s="3">
        <v>5</v>
      </c>
      <c r="F495" s="3" t="s">
        <v>13</v>
      </c>
      <c r="G495" s="3" t="s">
        <v>28</v>
      </c>
      <c r="H495" s="3" t="s">
        <v>15</v>
      </c>
      <c r="I495" s="3">
        <v>3</v>
      </c>
      <c r="J495" s="3" t="s">
        <v>46</v>
      </c>
      <c r="K495" s="3" t="s">
        <v>32</v>
      </c>
      <c r="L495" s="3">
        <v>60</v>
      </c>
      <c r="M495" s="3" t="str">
        <f t="shared" si="7"/>
        <v>Old</v>
      </c>
      <c r="N495" s="3" t="s">
        <v>15</v>
      </c>
    </row>
    <row r="496" spans="1:14" x14ac:dyDescent="0.35">
      <c r="A496" s="3">
        <v>27650</v>
      </c>
      <c r="B496" s="3" t="s">
        <v>36</v>
      </c>
      <c r="C496" s="3" t="s">
        <v>39</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35">
      <c r="A497" s="3">
        <v>24981</v>
      </c>
      <c r="B497" s="3" t="s">
        <v>36</v>
      </c>
      <c r="C497" s="3" t="s">
        <v>39</v>
      </c>
      <c r="D497" s="5">
        <v>60000</v>
      </c>
      <c r="E497" s="3">
        <v>2</v>
      </c>
      <c r="F497" s="3" t="s">
        <v>19</v>
      </c>
      <c r="G497" s="3" t="s">
        <v>21</v>
      </c>
      <c r="H497" s="3" t="s">
        <v>15</v>
      </c>
      <c r="I497" s="3">
        <v>2</v>
      </c>
      <c r="J497" s="3" t="s">
        <v>46</v>
      </c>
      <c r="K497" s="3" t="s">
        <v>32</v>
      </c>
      <c r="L497" s="3">
        <v>56</v>
      </c>
      <c r="M497" s="3" t="str">
        <f t="shared" si="7"/>
        <v>Old</v>
      </c>
      <c r="N497" s="3" t="s">
        <v>18</v>
      </c>
    </row>
    <row r="498" spans="1:14" x14ac:dyDescent="0.35">
      <c r="A498" s="3">
        <v>20678</v>
      </c>
      <c r="B498" s="3" t="s">
        <v>37</v>
      </c>
      <c r="C498" s="3" t="s">
        <v>38</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35">
      <c r="A499" s="3">
        <v>15302</v>
      </c>
      <c r="B499" s="3" t="s">
        <v>37</v>
      </c>
      <c r="C499" s="3" t="s">
        <v>38</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35">
      <c r="A500" s="3">
        <v>26012</v>
      </c>
      <c r="B500" s="3" t="s">
        <v>36</v>
      </c>
      <c r="C500" s="3" t="s">
        <v>39</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35">
      <c r="A501" s="3">
        <v>26575</v>
      </c>
      <c r="B501" s="3" t="s">
        <v>37</v>
      </c>
      <c r="C501" s="3" t="s">
        <v>38</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35">
      <c r="A502" s="3">
        <v>15559</v>
      </c>
      <c r="B502" s="3" t="s">
        <v>36</v>
      </c>
      <c r="C502" s="3" t="s">
        <v>39</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35">
      <c r="A503" s="3">
        <v>19235</v>
      </c>
      <c r="B503" s="3" t="s">
        <v>36</v>
      </c>
      <c r="C503" s="3" t="s">
        <v>38</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35">
      <c r="A504" s="3">
        <v>15275</v>
      </c>
      <c r="B504" s="3" t="s">
        <v>36</v>
      </c>
      <c r="C504" s="3" t="s">
        <v>39</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35">
      <c r="A505" s="3">
        <v>20339</v>
      </c>
      <c r="B505" s="3" t="s">
        <v>36</v>
      </c>
      <c r="C505" s="3" t="s">
        <v>38</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35">
      <c r="A506" s="3">
        <v>25405</v>
      </c>
      <c r="B506" s="3" t="s">
        <v>36</v>
      </c>
      <c r="C506" s="3" t="s">
        <v>39</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35">
      <c r="A507" s="3">
        <v>15940</v>
      </c>
      <c r="B507" s="3" t="s">
        <v>36</v>
      </c>
      <c r="C507" s="3" t="s">
        <v>39</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35">
      <c r="A508" s="3">
        <v>25074</v>
      </c>
      <c r="B508" s="3" t="s">
        <v>36</v>
      </c>
      <c r="C508" s="3" t="s">
        <v>38</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35">
      <c r="A509" s="3">
        <v>24738</v>
      </c>
      <c r="B509" s="3" t="s">
        <v>36</v>
      </c>
      <c r="C509" s="3" t="s">
        <v>38</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35">
      <c r="A510" s="3">
        <v>16337</v>
      </c>
      <c r="B510" s="3" t="s">
        <v>36</v>
      </c>
      <c r="C510" s="3" t="s">
        <v>39</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35">
      <c r="A511" s="3">
        <v>24357</v>
      </c>
      <c r="B511" s="3" t="s">
        <v>36</v>
      </c>
      <c r="C511" s="3" t="s">
        <v>39</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35">
      <c r="A512" s="3">
        <v>18613</v>
      </c>
      <c r="B512" s="3" t="s">
        <v>37</v>
      </c>
      <c r="C512" s="3" t="s">
        <v>39</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35">
      <c r="A513" s="3">
        <v>12207</v>
      </c>
      <c r="B513" s="3" t="s">
        <v>37</v>
      </c>
      <c r="C513" s="3" t="s">
        <v>39</v>
      </c>
      <c r="D513" s="5">
        <v>80000</v>
      </c>
      <c r="E513" s="3">
        <v>4</v>
      </c>
      <c r="F513" s="3" t="s">
        <v>13</v>
      </c>
      <c r="G513" s="3" t="s">
        <v>28</v>
      </c>
      <c r="H513" s="3" t="s">
        <v>15</v>
      </c>
      <c r="I513" s="3">
        <v>0</v>
      </c>
      <c r="J513" s="3" t="s">
        <v>23</v>
      </c>
      <c r="K513" s="3" t="s">
        <v>32</v>
      </c>
      <c r="L513" s="3">
        <v>66</v>
      </c>
      <c r="M513" s="3" t="str">
        <f t="shared" si="7"/>
        <v>Old</v>
      </c>
      <c r="N513" s="3" t="s">
        <v>15</v>
      </c>
    </row>
    <row r="514" spans="1:14" x14ac:dyDescent="0.35">
      <c r="A514" s="3">
        <v>18052</v>
      </c>
      <c r="B514" s="3" t="s">
        <v>36</v>
      </c>
      <c r="C514" s="3" t="s">
        <v>38</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35">
      <c r="A515" s="3">
        <v>13353</v>
      </c>
      <c r="B515" s="3" t="s">
        <v>37</v>
      </c>
      <c r="C515" s="3" t="s">
        <v>38</v>
      </c>
      <c r="D515" s="5">
        <v>60000</v>
      </c>
      <c r="E515" s="3">
        <v>4</v>
      </c>
      <c r="F515" s="3" t="s">
        <v>31</v>
      </c>
      <c r="G515" s="3" t="s">
        <v>28</v>
      </c>
      <c r="H515" s="3" t="s">
        <v>15</v>
      </c>
      <c r="I515" s="3">
        <v>2</v>
      </c>
      <c r="J515" s="3" t="s">
        <v>46</v>
      </c>
      <c r="K515" s="3" t="s">
        <v>32</v>
      </c>
      <c r="L515" s="3">
        <v>61</v>
      </c>
      <c r="M515" s="3" t="str">
        <f t="shared" ref="M515:M578" si="8">IF(L515&gt;54,"Old",IF(L515&gt;=31,"Middle Age",IF(L515&lt;31,"Adolescent","Invalid")))</f>
        <v>Old</v>
      </c>
      <c r="N515" s="3" t="s">
        <v>15</v>
      </c>
    </row>
    <row r="516" spans="1:14" x14ac:dyDescent="0.35">
      <c r="A516" s="3">
        <v>19399</v>
      </c>
      <c r="B516" s="3" t="s">
        <v>37</v>
      </c>
      <c r="C516" s="3" t="s">
        <v>39</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35">
      <c r="A517" s="3">
        <v>16154</v>
      </c>
      <c r="B517" s="3" t="s">
        <v>36</v>
      </c>
      <c r="C517" s="3" t="s">
        <v>38</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35">
      <c r="A518" s="3">
        <v>22219</v>
      </c>
      <c r="B518" s="3" t="s">
        <v>36</v>
      </c>
      <c r="C518" s="3" t="s">
        <v>38</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35">
      <c r="A519" s="3">
        <v>17269</v>
      </c>
      <c r="B519" s="3" t="s">
        <v>37</v>
      </c>
      <c r="C519" s="3" t="s">
        <v>39</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35">
      <c r="A520" s="3">
        <v>23586</v>
      </c>
      <c r="B520" s="3" t="s">
        <v>36</v>
      </c>
      <c r="C520" s="3" t="s">
        <v>38</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35">
      <c r="A521" s="3">
        <v>15740</v>
      </c>
      <c r="B521" s="3" t="s">
        <v>36</v>
      </c>
      <c r="C521" s="3" t="s">
        <v>39</v>
      </c>
      <c r="D521" s="5">
        <v>80000</v>
      </c>
      <c r="E521" s="3">
        <v>5</v>
      </c>
      <c r="F521" s="3" t="s">
        <v>13</v>
      </c>
      <c r="G521" s="3" t="s">
        <v>28</v>
      </c>
      <c r="H521" s="3" t="s">
        <v>15</v>
      </c>
      <c r="I521" s="3">
        <v>2</v>
      </c>
      <c r="J521" s="3" t="s">
        <v>26</v>
      </c>
      <c r="K521" s="3" t="s">
        <v>32</v>
      </c>
      <c r="L521" s="3">
        <v>64</v>
      </c>
      <c r="M521" s="3" t="str">
        <f t="shared" si="8"/>
        <v>Old</v>
      </c>
      <c r="N521" s="3" t="s">
        <v>18</v>
      </c>
    </row>
    <row r="522" spans="1:14" x14ac:dyDescent="0.35">
      <c r="A522" s="3">
        <v>27638</v>
      </c>
      <c r="B522" s="3" t="s">
        <v>37</v>
      </c>
      <c r="C522" s="3" t="s">
        <v>39</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35">
      <c r="A523" s="3">
        <v>18976</v>
      </c>
      <c r="B523" s="3" t="s">
        <v>37</v>
      </c>
      <c r="C523" s="3" t="s">
        <v>39</v>
      </c>
      <c r="D523" s="5">
        <v>40000</v>
      </c>
      <c r="E523" s="3">
        <v>4</v>
      </c>
      <c r="F523" s="3" t="s">
        <v>27</v>
      </c>
      <c r="G523" s="3" t="s">
        <v>21</v>
      </c>
      <c r="H523" s="3" t="s">
        <v>15</v>
      </c>
      <c r="I523" s="3">
        <v>2</v>
      </c>
      <c r="J523" s="3" t="s">
        <v>46</v>
      </c>
      <c r="K523" s="3" t="s">
        <v>32</v>
      </c>
      <c r="L523" s="3">
        <v>62</v>
      </c>
      <c r="M523" s="3" t="str">
        <f t="shared" si="8"/>
        <v>Old</v>
      </c>
      <c r="N523" s="3" t="s">
        <v>15</v>
      </c>
    </row>
    <row r="524" spans="1:14" x14ac:dyDescent="0.35">
      <c r="A524" s="3">
        <v>19413</v>
      </c>
      <c r="B524" s="3" t="s">
        <v>37</v>
      </c>
      <c r="C524" s="3" t="s">
        <v>39</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35">
      <c r="A525" s="3">
        <v>13283</v>
      </c>
      <c r="B525" s="3" t="s">
        <v>36</v>
      </c>
      <c r="C525" s="3" t="s">
        <v>39</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35">
      <c r="A526" s="3">
        <v>17471</v>
      </c>
      <c r="B526" s="3" t="s">
        <v>37</v>
      </c>
      <c r="C526" s="3" t="s">
        <v>38</v>
      </c>
      <c r="D526" s="5">
        <v>80000</v>
      </c>
      <c r="E526" s="3">
        <v>4</v>
      </c>
      <c r="F526" s="3" t="s">
        <v>31</v>
      </c>
      <c r="G526" s="3" t="s">
        <v>28</v>
      </c>
      <c r="H526" s="3" t="s">
        <v>15</v>
      </c>
      <c r="I526" s="3">
        <v>2</v>
      </c>
      <c r="J526" s="3" t="s">
        <v>23</v>
      </c>
      <c r="K526" s="3" t="s">
        <v>32</v>
      </c>
      <c r="L526" s="3">
        <v>67</v>
      </c>
      <c r="M526" s="3" t="str">
        <f t="shared" si="8"/>
        <v>Old</v>
      </c>
      <c r="N526" s="3" t="s">
        <v>18</v>
      </c>
    </row>
    <row r="527" spans="1:14" x14ac:dyDescent="0.35">
      <c r="A527" s="3">
        <v>16791</v>
      </c>
      <c r="B527" s="3" t="s">
        <v>37</v>
      </c>
      <c r="C527" s="3" t="s">
        <v>39</v>
      </c>
      <c r="D527" s="5">
        <v>60000</v>
      </c>
      <c r="E527" s="3">
        <v>5</v>
      </c>
      <c r="F527" s="3" t="s">
        <v>13</v>
      </c>
      <c r="G527" s="3" t="s">
        <v>28</v>
      </c>
      <c r="H527" s="3" t="s">
        <v>15</v>
      </c>
      <c r="I527" s="3">
        <v>3</v>
      </c>
      <c r="J527" s="3" t="s">
        <v>46</v>
      </c>
      <c r="K527" s="3" t="s">
        <v>32</v>
      </c>
      <c r="L527" s="3">
        <v>59</v>
      </c>
      <c r="M527" s="3" t="str">
        <f t="shared" si="8"/>
        <v>Old</v>
      </c>
      <c r="N527" s="3" t="s">
        <v>15</v>
      </c>
    </row>
    <row r="528" spans="1:14" x14ac:dyDescent="0.35">
      <c r="A528" s="3">
        <v>15382</v>
      </c>
      <c r="B528" s="3" t="s">
        <v>36</v>
      </c>
      <c r="C528" s="3" t="s">
        <v>38</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35">
      <c r="A529" s="3">
        <v>11641</v>
      </c>
      <c r="B529" s="3" t="s">
        <v>36</v>
      </c>
      <c r="C529" s="3" t="s">
        <v>39</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35">
      <c r="A530" s="3">
        <v>11935</v>
      </c>
      <c r="B530" s="3" t="s">
        <v>37</v>
      </c>
      <c r="C530" s="3" t="s">
        <v>38</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35">
      <c r="A531" s="3">
        <v>13233</v>
      </c>
      <c r="B531" s="3" t="s">
        <v>36</v>
      </c>
      <c r="C531" s="3" t="s">
        <v>39</v>
      </c>
      <c r="D531" s="5">
        <v>60000</v>
      </c>
      <c r="E531" s="3">
        <v>2</v>
      </c>
      <c r="F531" s="3" t="s">
        <v>19</v>
      </c>
      <c r="G531" s="3" t="s">
        <v>21</v>
      </c>
      <c r="H531" s="3" t="s">
        <v>15</v>
      </c>
      <c r="I531" s="3">
        <v>1</v>
      </c>
      <c r="J531" s="3" t="s">
        <v>46</v>
      </c>
      <c r="K531" s="3" t="s">
        <v>32</v>
      </c>
      <c r="L531" s="3">
        <v>57</v>
      </c>
      <c r="M531" s="3" t="str">
        <f t="shared" si="8"/>
        <v>Old</v>
      </c>
      <c r="N531" s="3" t="s">
        <v>15</v>
      </c>
    </row>
    <row r="532" spans="1:14" x14ac:dyDescent="0.35">
      <c r="A532" s="3">
        <v>25909</v>
      </c>
      <c r="B532" s="3" t="s">
        <v>36</v>
      </c>
      <c r="C532" s="3" t="s">
        <v>39</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35">
      <c r="A533" s="3">
        <v>14092</v>
      </c>
      <c r="B533" s="3" t="s">
        <v>37</v>
      </c>
      <c r="C533" s="3" t="s">
        <v>39</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35">
      <c r="A534" s="3">
        <v>29143</v>
      </c>
      <c r="B534" s="3" t="s">
        <v>37</v>
      </c>
      <c r="C534" s="3" t="s">
        <v>38</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35">
      <c r="A535" s="3">
        <v>24941</v>
      </c>
      <c r="B535" s="3" t="s">
        <v>36</v>
      </c>
      <c r="C535" s="3" t="s">
        <v>39</v>
      </c>
      <c r="D535" s="5">
        <v>60000</v>
      </c>
      <c r="E535" s="3">
        <v>3</v>
      </c>
      <c r="F535" s="3" t="s">
        <v>13</v>
      </c>
      <c r="G535" s="3" t="s">
        <v>28</v>
      </c>
      <c r="H535" s="3" t="s">
        <v>15</v>
      </c>
      <c r="I535" s="3">
        <v>2</v>
      </c>
      <c r="J535" s="3" t="s">
        <v>46</v>
      </c>
      <c r="K535" s="3" t="s">
        <v>32</v>
      </c>
      <c r="L535" s="3">
        <v>66</v>
      </c>
      <c r="M535" s="3" t="str">
        <f t="shared" si="8"/>
        <v>Old</v>
      </c>
      <c r="N535" s="3" t="s">
        <v>18</v>
      </c>
    </row>
    <row r="536" spans="1:14" x14ac:dyDescent="0.35">
      <c r="A536" s="3">
        <v>24637</v>
      </c>
      <c r="B536" s="3" t="s">
        <v>36</v>
      </c>
      <c r="C536" s="3" t="s">
        <v>39</v>
      </c>
      <c r="D536" s="5">
        <v>40000</v>
      </c>
      <c r="E536" s="3">
        <v>4</v>
      </c>
      <c r="F536" s="3" t="s">
        <v>27</v>
      </c>
      <c r="G536" s="3" t="s">
        <v>21</v>
      </c>
      <c r="H536" s="3" t="s">
        <v>15</v>
      </c>
      <c r="I536" s="3">
        <v>2</v>
      </c>
      <c r="J536" s="3" t="s">
        <v>46</v>
      </c>
      <c r="K536" s="3" t="s">
        <v>32</v>
      </c>
      <c r="L536" s="3">
        <v>64</v>
      </c>
      <c r="M536" s="3" t="str">
        <f t="shared" si="8"/>
        <v>Old</v>
      </c>
      <c r="N536" s="3" t="s">
        <v>18</v>
      </c>
    </row>
    <row r="537" spans="1:14" x14ac:dyDescent="0.35">
      <c r="A537" s="3">
        <v>23893</v>
      </c>
      <c r="B537" s="3" t="s">
        <v>36</v>
      </c>
      <c r="C537" s="3" t="s">
        <v>39</v>
      </c>
      <c r="D537" s="5">
        <v>50000</v>
      </c>
      <c r="E537" s="3">
        <v>3</v>
      </c>
      <c r="F537" s="3" t="s">
        <v>13</v>
      </c>
      <c r="G537" s="3" t="s">
        <v>14</v>
      </c>
      <c r="H537" s="3" t="s">
        <v>15</v>
      </c>
      <c r="I537" s="3">
        <v>3</v>
      </c>
      <c r="J537" s="3" t="s">
        <v>46</v>
      </c>
      <c r="K537" s="3" t="s">
        <v>32</v>
      </c>
      <c r="L537" s="3">
        <v>41</v>
      </c>
      <c r="M537" s="3" t="str">
        <f t="shared" si="8"/>
        <v>Middle Age</v>
      </c>
      <c r="N537" s="3" t="s">
        <v>18</v>
      </c>
    </row>
    <row r="538" spans="1:14" x14ac:dyDescent="0.35">
      <c r="A538" s="3">
        <v>13907</v>
      </c>
      <c r="B538" s="3" t="s">
        <v>37</v>
      </c>
      <c r="C538" s="3" t="s">
        <v>38</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35">
      <c r="A539" s="3">
        <v>14900</v>
      </c>
      <c r="B539" s="3" t="s">
        <v>36</v>
      </c>
      <c r="C539" s="3" t="s">
        <v>38</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35">
      <c r="A540" s="3">
        <v>11262</v>
      </c>
      <c r="B540" s="3" t="s">
        <v>36</v>
      </c>
      <c r="C540" s="3" t="s">
        <v>38</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35">
      <c r="A541" s="3">
        <v>22294</v>
      </c>
      <c r="B541" s="3" t="s">
        <v>37</v>
      </c>
      <c r="C541" s="3" t="s">
        <v>38</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35">
      <c r="A542" s="3">
        <v>12195</v>
      </c>
      <c r="B542" s="3" t="s">
        <v>37</v>
      </c>
      <c r="C542" s="3" t="s">
        <v>38</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35">
      <c r="A543" s="3">
        <v>25375</v>
      </c>
      <c r="B543" s="3" t="s">
        <v>36</v>
      </c>
      <c r="C543" s="3" t="s">
        <v>39</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35">
      <c r="A544" s="3">
        <v>11143</v>
      </c>
      <c r="B544" s="3" t="s">
        <v>36</v>
      </c>
      <c r="C544" s="3" t="s">
        <v>39</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35">
      <c r="A545" s="3">
        <v>25898</v>
      </c>
      <c r="B545" s="3" t="s">
        <v>36</v>
      </c>
      <c r="C545" s="3" t="s">
        <v>38</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35">
      <c r="A546" s="3">
        <v>24397</v>
      </c>
      <c r="B546" s="3" t="s">
        <v>37</v>
      </c>
      <c r="C546" s="3" t="s">
        <v>39</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35">
      <c r="A547" s="3">
        <v>19758</v>
      </c>
      <c r="B547" s="3" t="s">
        <v>37</v>
      </c>
      <c r="C547" s="3" t="s">
        <v>39</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35">
      <c r="A548" s="3">
        <v>15529</v>
      </c>
      <c r="B548" s="3" t="s">
        <v>36</v>
      </c>
      <c r="C548" s="3" t="s">
        <v>39</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35">
      <c r="A549" s="3">
        <v>19884</v>
      </c>
      <c r="B549" s="3" t="s">
        <v>36</v>
      </c>
      <c r="C549" s="3" t="s">
        <v>39</v>
      </c>
      <c r="D549" s="5">
        <v>60000</v>
      </c>
      <c r="E549" s="3">
        <v>2</v>
      </c>
      <c r="F549" s="3" t="s">
        <v>27</v>
      </c>
      <c r="G549" s="3" t="s">
        <v>21</v>
      </c>
      <c r="H549" s="3" t="s">
        <v>15</v>
      </c>
      <c r="I549" s="3">
        <v>2</v>
      </c>
      <c r="J549" s="3" t="s">
        <v>22</v>
      </c>
      <c r="K549" s="3" t="s">
        <v>32</v>
      </c>
      <c r="L549" s="3">
        <v>55</v>
      </c>
      <c r="M549" s="3" t="str">
        <f t="shared" si="8"/>
        <v>Old</v>
      </c>
      <c r="N549" s="3" t="s">
        <v>15</v>
      </c>
    </row>
    <row r="550" spans="1:14" x14ac:dyDescent="0.35">
      <c r="A550" s="3">
        <v>18674</v>
      </c>
      <c r="B550" s="3" t="s">
        <v>37</v>
      </c>
      <c r="C550" s="3" t="s">
        <v>38</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35">
      <c r="A551" s="3">
        <v>13453</v>
      </c>
      <c r="B551" s="3" t="s">
        <v>36</v>
      </c>
      <c r="C551" s="3" t="s">
        <v>38</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35">
      <c r="A552" s="3">
        <v>14063</v>
      </c>
      <c r="B552" s="3" t="s">
        <v>37</v>
      </c>
      <c r="C552" s="3" t="s">
        <v>38</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35">
      <c r="A553" s="3">
        <v>27393</v>
      </c>
      <c r="B553" s="3" t="s">
        <v>36</v>
      </c>
      <c r="C553" s="3" t="s">
        <v>38</v>
      </c>
      <c r="D553" s="5">
        <v>50000</v>
      </c>
      <c r="E553" s="3">
        <v>4</v>
      </c>
      <c r="F553" s="3" t="s">
        <v>13</v>
      </c>
      <c r="G553" s="3" t="s">
        <v>28</v>
      </c>
      <c r="H553" s="3" t="s">
        <v>15</v>
      </c>
      <c r="I553" s="3">
        <v>2</v>
      </c>
      <c r="J553" s="3" t="s">
        <v>46</v>
      </c>
      <c r="K553" s="3" t="s">
        <v>32</v>
      </c>
      <c r="L553" s="3">
        <v>63</v>
      </c>
      <c r="M553" s="3" t="str">
        <f t="shared" si="8"/>
        <v>Old</v>
      </c>
      <c r="N553" s="3" t="s">
        <v>18</v>
      </c>
    </row>
    <row r="554" spans="1:14" x14ac:dyDescent="0.35">
      <c r="A554" s="3">
        <v>14417</v>
      </c>
      <c r="B554" s="3" t="s">
        <v>37</v>
      </c>
      <c r="C554" s="3" t="s">
        <v>39</v>
      </c>
      <c r="D554" s="5">
        <v>60000</v>
      </c>
      <c r="E554" s="3">
        <v>3</v>
      </c>
      <c r="F554" s="3" t="s">
        <v>27</v>
      </c>
      <c r="G554" s="3" t="s">
        <v>21</v>
      </c>
      <c r="H554" s="3" t="s">
        <v>15</v>
      </c>
      <c r="I554" s="3">
        <v>2</v>
      </c>
      <c r="J554" s="3" t="s">
        <v>46</v>
      </c>
      <c r="K554" s="3" t="s">
        <v>32</v>
      </c>
      <c r="L554" s="3">
        <v>54</v>
      </c>
      <c r="M554" s="3" t="str">
        <f t="shared" si="8"/>
        <v>Middle Age</v>
      </c>
      <c r="N554" s="3" t="s">
        <v>15</v>
      </c>
    </row>
    <row r="555" spans="1:14" x14ac:dyDescent="0.35">
      <c r="A555" s="3">
        <v>17533</v>
      </c>
      <c r="B555" s="3" t="s">
        <v>36</v>
      </c>
      <c r="C555" s="3" t="s">
        <v>39</v>
      </c>
      <c r="D555" s="5">
        <v>40000</v>
      </c>
      <c r="E555" s="3">
        <v>3</v>
      </c>
      <c r="F555" s="3" t="s">
        <v>19</v>
      </c>
      <c r="G555" s="3" t="s">
        <v>21</v>
      </c>
      <c r="H555" s="3" t="s">
        <v>18</v>
      </c>
      <c r="I555" s="3">
        <v>2</v>
      </c>
      <c r="J555" s="3" t="s">
        <v>23</v>
      </c>
      <c r="K555" s="3" t="s">
        <v>32</v>
      </c>
      <c r="L555" s="3">
        <v>73</v>
      </c>
      <c r="M555" s="3" t="str">
        <f t="shared" si="8"/>
        <v>Old</v>
      </c>
      <c r="N555" s="3" t="s">
        <v>15</v>
      </c>
    </row>
    <row r="556" spans="1:14" x14ac:dyDescent="0.35">
      <c r="A556" s="3">
        <v>18580</v>
      </c>
      <c r="B556" s="3" t="s">
        <v>36</v>
      </c>
      <c r="C556" s="3" t="s">
        <v>38</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35">
      <c r="A557" s="3">
        <v>17025</v>
      </c>
      <c r="B557" s="3" t="s">
        <v>37</v>
      </c>
      <c r="C557" s="3" t="s">
        <v>39</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35">
      <c r="A558" s="3">
        <v>25293</v>
      </c>
      <c r="B558" s="3" t="s">
        <v>36</v>
      </c>
      <c r="C558" s="3" t="s">
        <v>39</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35">
      <c r="A559" s="3">
        <v>24725</v>
      </c>
      <c r="B559" s="3" t="s">
        <v>36</v>
      </c>
      <c r="C559" s="3" t="s">
        <v>38</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35">
      <c r="A560" s="3">
        <v>23200</v>
      </c>
      <c r="B560" s="3" t="s">
        <v>36</v>
      </c>
      <c r="C560" s="3" t="s">
        <v>38</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35">
      <c r="A561" s="3">
        <v>15895</v>
      </c>
      <c r="B561" s="3" t="s">
        <v>37</v>
      </c>
      <c r="C561" s="3" t="s">
        <v>38</v>
      </c>
      <c r="D561" s="5">
        <v>60000</v>
      </c>
      <c r="E561" s="3">
        <v>2</v>
      </c>
      <c r="F561" s="3" t="s">
        <v>13</v>
      </c>
      <c r="G561" s="3" t="s">
        <v>28</v>
      </c>
      <c r="H561" s="3" t="s">
        <v>15</v>
      </c>
      <c r="I561" s="3">
        <v>0</v>
      </c>
      <c r="J561" s="3" t="s">
        <v>46</v>
      </c>
      <c r="K561" s="3" t="s">
        <v>32</v>
      </c>
      <c r="L561" s="3">
        <v>58</v>
      </c>
      <c r="M561" s="3" t="str">
        <f t="shared" si="8"/>
        <v>Old</v>
      </c>
      <c r="N561" s="3" t="s">
        <v>18</v>
      </c>
    </row>
    <row r="562" spans="1:14" x14ac:dyDescent="0.35">
      <c r="A562" s="3">
        <v>18577</v>
      </c>
      <c r="B562" s="3" t="s">
        <v>36</v>
      </c>
      <c r="C562" s="3" t="s">
        <v>38</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35">
      <c r="A563" s="3">
        <v>27218</v>
      </c>
      <c r="B563" s="3" t="s">
        <v>36</v>
      </c>
      <c r="C563" s="3" t="s">
        <v>38</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35">
      <c r="A564" s="3">
        <v>18560</v>
      </c>
      <c r="B564" s="3" t="s">
        <v>36</v>
      </c>
      <c r="C564" s="3" t="s">
        <v>38</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35">
      <c r="A565" s="3">
        <v>25006</v>
      </c>
      <c r="B565" s="3" t="s">
        <v>37</v>
      </c>
      <c r="C565" s="3" t="s">
        <v>38</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35">
      <c r="A566" s="3">
        <v>17369</v>
      </c>
      <c r="B566" s="3" t="s">
        <v>37</v>
      </c>
      <c r="C566" s="3" t="s">
        <v>39</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35">
      <c r="A567" s="3">
        <v>14495</v>
      </c>
      <c r="B567" s="3" t="s">
        <v>36</v>
      </c>
      <c r="C567" s="3" t="s">
        <v>39</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35">
      <c r="A568" s="3">
        <v>18847</v>
      </c>
      <c r="B568" s="3" t="s">
        <v>36</v>
      </c>
      <c r="C568" s="3" t="s">
        <v>38</v>
      </c>
      <c r="D568" s="5">
        <v>60000</v>
      </c>
      <c r="E568" s="3">
        <v>2</v>
      </c>
      <c r="F568" s="3" t="s">
        <v>31</v>
      </c>
      <c r="G568" s="3" t="s">
        <v>28</v>
      </c>
      <c r="H568" s="3" t="s">
        <v>15</v>
      </c>
      <c r="I568" s="3">
        <v>2</v>
      </c>
      <c r="J568" s="3" t="s">
        <v>23</v>
      </c>
      <c r="K568" s="3" t="s">
        <v>32</v>
      </c>
      <c r="L568" s="3">
        <v>70</v>
      </c>
      <c r="M568" s="3" t="str">
        <f t="shared" si="8"/>
        <v>Old</v>
      </c>
      <c r="N568" s="3" t="s">
        <v>18</v>
      </c>
    </row>
    <row r="569" spans="1:14" x14ac:dyDescent="0.35">
      <c r="A569" s="3">
        <v>14754</v>
      </c>
      <c r="B569" s="3" t="s">
        <v>36</v>
      </c>
      <c r="C569" s="3" t="s">
        <v>39</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35">
      <c r="A570" s="3">
        <v>23378</v>
      </c>
      <c r="B570" s="3" t="s">
        <v>36</v>
      </c>
      <c r="C570" s="3" t="s">
        <v>39</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35">
      <c r="A571" s="3">
        <v>26452</v>
      </c>
      <c r="B571" s="3" t="s">
        <v>37</v>
      </c>
      <c r="C571" s="3" t="s">
        <v>39</v>
      </c>
      <c r="D571" s="5">
        <v>50000</v>
      </c>
      <c r="E571" s="3">
        <v>3</v>
      </c>
      <c r="F571" s="3" t="s">
        <v>31</v>
      </c>
      <c r="G571" s="3" t="s">
        <v>28</v>
      </c>
      <c r="H571" s="3" t="s">
        <v>15</v>
      </c>
      <c r="I571" s="3">
        <v>2</v>
      </c>
      <c r="J571" s="3" t="s">
        <v>46</v>
      </c>
      <c r="K571" s="3" t="s">
        <v>32</v>
      </c>
      <c r="L571" s="3">
        <v>69</v>
      </c>
      <c r="M571" s="3" t="str">
        <f t="shared" si="8"/>
        <v>Old</v>
      </c>
      <c r="N571" s="3" t="s">
        <v>18</v>
      </c>
    </row>
    <row r="572" spans="1:14" x14ac:dyDescent="0.35">
      <c r="A572" s="3">
        <v>20370</v>
      </c>
      <c r="B572" s="3" t="s">
        <v>36</v>
      </c>
      <c r="C572" s="3" t="s">
        <v>39</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35">
      <c r="A573" s="3">
        <v>20528</v>
      </c>
      <c r="B573" s="3" t="s">
        <v>36</v>
      </c>
      <c r="C573" s="3" t="s">
        <v>39</v>
      </c>
      <c r="D573" s="5">
        <v>40000</v>
      </c>
      <c r="E573" s="3">
        <v>2</v>
      </c>
      <c r="F573" s="3" t="s">
        <v>29</v>
      </c>
      <c r="G573" s="3" t="s">
        <v>14</v>
      </c>
      <c r="H573" s="3" t="s">
        <v>15</v>
      </c>
      <c r="I573" s="3">
        <v>2</v>
      </c>
      <c r="J573" s="3" t="s">
        <v>22</v>
      </c>
      <c r="K573" s="3" t="s">
        <v>32</v>
      </c>
      <c r="L573" s="3">
        <v>55</v>
      </c>
      <c r="M573" s="3" t="str">
        <f t="shared" si="8"/>
        <v>Old</v>
      </c>
      <c r="N573" s="3" t="s">
        <v>18</v>
      </c>
    </row>
    <row r="574" spans="1:14" x14ac:dyDescent="0.35">
      <c r="A574" s="3">
        <v>23549</v>
      </c>
      <c r="B574" s="3" t="s">
        <v>37</v>
      </c>
      <c r="C574" s="3" t="s">
        <v>39</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35">
      <c r="A575" s="3">
        <v>21751</v>
      </c>
      <c r="B575" s="3" t="s">
        <v>36</v>
      </c>
      <c r="C575" s="3" t="s">
        <v>39</v>
      </c>
      <c r="D575" s="5">
        <v>60000</v>
      </c>
      <c r="E575" s="3">
        <v>3</v>
      </c>
      <c r="F575" s="3" t="s">
        <v>31</v>
      </c>
      <c r="G575" s="3" t="s">
        <v>28</v>
      </c>
      <c r="H575" s="3" t="s">
        <v>15</v>
      </c>
      <c r="I575" s="3">
        <v>2</v>
      </c>
      <c r="J575" s="3" t="s">
        <v>26</v>
      </c>
      <c r="K575" s="3" t="s">
        <v>32</v>
      </c>
      <c r="L575" s="3">
        <v>63</v>
      </c>
      <c r="M575" s="3" t="str">
        <f t="shared" si="8"/>
        <v>Old</v>
      </c>
      <c r="N575" s="3" t="s">
        <v>18</v>
      </c>
    </row>
    <row r="576" spans="1:14" x14ac:dyDescent="0.35">
      <c r="A576" s="3">
        <v>21266</v>
      </c>
      <c r="B576" s="3" t="s">
        <v>37</v>
      </c>
      <c r="C576" s="3" t="s">
        <v>38</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35">
      <c r="A577" s="3">
        <v>13388</v>
      </c>
      <c r="B577" s="3" t="s">
        <v>37</v>
      </c>
      <c r="C577" s="3" t="s">
        <v>39</v>
      </c>
      <c r="D577" s="5">
        <v>60000</v>
      </c>
      <c r="E577" s="3">
        <v>2</v>
      </c>
      <c r="F577" s="3" t="s">
        <v>19</v>
      </c>
      <c r="G577" s="3" t="s">
        <v>21</v>
      </c>
      <c r="H577" s="3" t="s">
        <v>15</v>
      </c>
      <c r="I577" s="3">
        <v>1</v>
      </c>
      <c r="J577" s="3" t="s">
        <v>46</v>
      </c>
      <c r="K577" s="3" t="s">
        <v>32</v>
      </c>
      <c r="L577" s="3">
        <v>56</v>
      </c>
      <c r="M577" s="3" t="str">
        <f t="shared" si="8"/>
        <v>Old</v>
      </c>
      <c r="N577" s="3" t="s">
        <v>18</v>
      </c>
    </row>
    <row r="578" spans="1:14" x14ac:dyDescent="0.35">
      <c r="A578" s="3">
        <v>18752</v>
      </c>
      <c r="B578" s="3" t="s">
        <v>37</v>
      </c>
      <c r="C578" s="3" t="s">
        <v>38</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35">
      <c r="A579" s="3">
        <v>16917</v>
      </c>
      <c r="B579" s="3" t="s">
        <v>36</v>
      </c>
      <c r="C579" s="3" t="s">
        <v>39</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35">
      <c r="A580" s="3">
        <v>15313</v>
      </c>
      <c r="B580" s="3" t="s">
        <v>36</v>
      </c>
      <c r="C580" s="3" t="s">
        <v>39</v>
      </c>
      <c r="D580" s="5">
        <v>60000</v>
      </c>
      <c r="E580" s="3">
        <v>4</v>
      </c>
      <c r="F580" s="3" t="s">
        <v>13</v>
      </c>
      <c r="G580" s="3" t="s">
        <v>28</v>
      </c>
      <c r="H580" s="3" t="s">
        <v>15</v>
      </c>
      <c r="I580" s="3">
        <v>2</v>
      </c>
      <c r="J580" s="3" t="s">
        <v>22</v>
      </c>
      <c r="K580" s="3" t="s">
        <v>32</v>
      </c>
      <c r="L580" s="3">
        <v>59</v>
      </c>
      <c r="M580" s="3" t="str">
        <f t="shared" si="9"/>
        <v>Old</v>
      </c>
      <c r="N580" s="3" t="s">
        <v>18</v>
      </c>
    </row>
    <row r="581" spans="1:14" x14ac:dyDescent="0.35">
      <c r="A581" s="3">
        <v>25329</v>
      </c>
      <c r="B581" s="3" t="s">
        <v>37</v>
      </c>
      <c r="C581" s="3" t="s">
        <v>38</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35">
      <c r="A582" s="3">
        <v>20380</v>
      </c>
      <c r="B582" s="3" t="s">
        <v>36</v>
      </c>
      <c r="C582" s="3" t="s">
        <v>38</v>
      </c>
      <c r="D582" s="5">
        <v>60000</v>
      </c>
      <c r="E582" s="3">
        <v>3</v>
      </c>
      <c r="F582" s="3" t="s">
        <v>31</v>
      </c>
      <c r="G582" s="3" t="s">
        <v>28</v>
      </c>
      <c r="H582" s="3" t="s">
        <v>15</v>
      </c>
      <c r="I582" s="3">
        <v>2</v>
      </c>
      <c r="J582" s="3" t="s">
        <v>46</v>
      </c>
      <c r="K582" s="3" t="s">
        <v>32</v>
      </c>
      <c r="L582" s="3">
        <v>69</v>
      </c>
      <c r="M582" s="3" t="str">
        <f t="shared" si="9"/>
        <v>Old</v>
      </c>
      <c r="N582" s="3" t="s">
        <v>18</v>
      </c>
    </row>
    <row r="583" spans="1:14" x14ac:dyDescent="0.35">
      <c r="A583" s="3">
        <v>23089</v>
      </c>
      <c r="B583" s="3" t="s">
        <v>36</v>
      </c>
      <c r="C583" s="3" t="s">
        <v>39</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35">
      <c r="A584" s="3">
        <v>13749</v>
      </c>
      <c r="B584" s="3" t="s">
        <v>36</v>
      </c>
      <c r="C584" s="3" t="s">
        <v>39</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35">
      <c r="A585" s="3">
        <v>24943</v>
      </c>
      <c r="B585" s="3" t="s">
        <v>36</v>
      </c>
      <c r="C585" s="3" t="s">
        <v>39</v>
      </c>
      <c r="D585" s="5">
        <v>60000</v>
      </c>
      <c r="E585" s="3">
        <v>3</v>
      </c>
      <c r="F585" s="3" t="s">
        <v>13</v>
      </c>
      <c r="G585" s="3" t="s">
        <v>28</v>
      </c>
      <c r="H585" s="3" t="s">
        <v>15</v>
      </c>
      <c r="I585" s="3">
        <v>2</v>
      </c>
      <c r="J585" s="3" t="s">
        <v>46</v>
      </c>
      <c r="K585" s="3" t="s">
        <v>32</v>
      </c>
      <c r="L585" s="3">
        <v>66</v>
      </c>
      <c r="M585" s="3" t="str">
        <f t="shared" si="9"/>
        <v>Old</v>
      </c>
      <c r="N585" s="3" t="s">
        <v>18</v>
      </c>
    </row>
    <row r="586" spans="1:14" x14ac:dyDescent="0.35">
      <c r="A586" s="3">
        <v>28667</v>
      </c>
      <c r="B586" s="3" t="s">
        <v>37</v>
      </c>
      <c r="C586" s="3" t="s">
        <v>39</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35">
      <c r="A587" s="3">
        <v>15194</v>
      </c>
      <c r="B587" s="3" t="s">
        <v>37</v>
      </c>
      <c r="C587" s="3" t="s">
        <v>39</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35">
      <c r="A588" s="3">
        <v>17436</v>
      </c>
      <c r="B588" s="3" t="s">
        <v>36</v>
      </c>
      <c r="C588" s="3" t="s">
        <v>39</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35">
      <c r="A589" s="3">
        <v>18935</v>
      </c>
      <c r="B589" s="3" t="s">
        <v>36</v>
      </c>
      <c r="C589" s="3" t="s">
        <v>38</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35">
      <c r="A590" s="3">
        <v>16871</v>
      </c>
      <c r="B590" s="3" t="s">
        <v>36</v>
      </c>
      <c r="C590" s="3" t="s">
        <v>38</v>
      </c>
      <c r="D590" s="5">
        <v>90000</v>
      </c>
      <c r="E590" s="3">
        <v>2</v>
      </c>
      <c r="F590" s="3" t="s">
        <v>27</v>
      </c>
      <c r="G590" s="3" t="s">
        <v>21</v>
      </c>
      <c r="H590" s="3" t="s">
        <v>15</v>
      </c>
      <c r="I590" s="3">
        <v>1</v>
      </c>
      <c r="J590" s="3" t="s">
        <v>46</v>
      </c>
      <c r="K590" s="3" t="s">
        <v>32</v>
      </c>
      <c r="L590" s="3">
        <v>51</v>
      </c>
      <c r="M590" s="3" t="str">
        <f t="shared" si="9"/>
        <v>Middle Age</v>
      </c>
      <c r="N590" s="3" t="s">
        <v>15</v>
      </c>
    </row>
    <row r="591" spans="1:14" x14ac:dyDescent="0.35">
      <c r="A591" s="3">
        <v>12100</v>
      </c>
      <c r="B591" s="3" t="s">
        <v>37</v>
      </c>
      <c r="C591" s="3" t="s">
        <v>39</v>
      </c>
      <c r="D591" s="5">
        <v>60000</v>
      </c>
      <c r="E591" s="3">
        <v>2</v>
      </c>
      <c r="F591" s="3" t="s">
        <v>13</v>
      </c>
      <c r="G591" s="3" t="s">
        <v>28</v>
      </c>
      <c r="H591" s="3" t="s">
        <v>15</v>
      </c>
      <c r="I591" s="3">
        <v>0</v>
      </c>
      <c r="J591" s="3" t="s">
        <v>46</v>
      </c>
      <c r="K591" s="3" t="s">
        <v>32</v>
      </c>
      <c r="L591" s="3">
        <v>57</v>
      </c>
      <c r="M591" s="3" t="str">
        <f t="shared" si="9"/>
        <v>Old</v>
      </c>
      <c r="N591" s="3" t="s">
        <v>18</v>
      </c>
    </row>
    <row r="592" spans="1:14" x14ac:dyDescent="0.35">
      <c r="A592" s="3">
        <v>23158</v>
      </c>
      <c r="B592" s="3" t="s">
        <v>36</v>
      </c>
      <c r="C592" s="3" t="s">
        <v>38</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35">
      <c r="A593" s="3">
        <v>18545</v>
      </c>
      <c r="B593" s="3" t="s">
        <v>36</v>
      </c>
      <c r="C593" s="3" t="s">
        <v>39</v>
      </c>
      <c r="D593" s="5">
        <v>40000</v>
      </c>
      <c r="E593" s="3">
        <v>4</v>
      </c>
      <c r="F593" s="3" t="s">
        <v>27</v>
      </c>
      <c r="G593" s="3" t="s">
        <v>21</v>
      </c>
      <c r="H593" s="3" t="s">
        <v>18</v>
      </c>
      <c r="I593" s="3">
        <v>2</v>
      </c>
      <c r="J593" s="3" t="s">
        <v>46</v>
      </c>
      <c r="K593" s="3" t="s">
        <v>32</v>
      </c>
      <c r="L593" s="3">
        <v>61</v>
      </c>
      <c r="M593" s="3" t="str">
        <f t="shared" si="9"/>
        <v>Old</v>
      </c>
      <c r="N593" s="3" t="s">
        <v>15</v>
      </c>
    </row>
    <row r="594" spans="1:14" x14ac:dyDescent="0.35">
      <c r="A594" s="3">
        <v>18391</v>
      </c>
      <c r="B594" s="3" t="s">
        <v>37</v>
      </c>
      <c r="C594" s="3" t="s">
        <v>38</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35">
      <c r="A595" s="3">
        <v>19812</v>
      </c>
      <c r="B595" s="3" t="s">
        <v>37</v>
      </c>
      <c r="C595" s="3" t="s">
        <v>38</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35">
      <c r="A596" s="3">
        <v>27660</v>
      </c>
      <c r="B596" s="3" t="s">
        <v>36</v>
      </c>
      <c r="C596" s="3" t="s">
        <v>39</v>
      </c>
      <c r="D596" s="5">
        <v>80000</v>
      </c>
      <c r="E596" s="3">
        <v>4</v>
      </c>
      <c r="F596" s="3" t="s">
        <v>31</v>
      </c>
      <c r="G596" s="3" t="s">
        <v>28</v>
      </c>
      <c r="H596" s="3" t="s">
        <v>15</v>
      </c>
      <c r="I596" s="3">
        <v>2</v>
      </c>
      <c r="J596" s="3" t="s">
        <v>23</v>
      </c>
      <c r="K596" s="3" t="s">
        <v>32</v>
      </c>
      <c r="L596" s="3">
        <v>70</v>
      </c>
      <c r="M596" s="3" t="str">
        <f t="shared" si="9"/>
        <v>Old</v>
      </c>
      <c r="N596" s="3" t="s">
        <v>18</v>
      </c>
    </row>
    <row r="597" spans="1:14" x14ac:dyDescent="0.35">
      <c r="A597" s="3">
        <v>18058</v>
      </c>
      <c r="B597" s="3" t="s">
        <v>37</v>
      </c>
      <c r="C597" s="3" t="s">
        <v>38</v>
      </c>
      <c r="D597" s="5">
        <v>20000</v>
      </c>
      <c r="E597" s="3">
        <v>3</v>
      </c>
      <c r="F597" s="3" t="s">
        <v>27</v>
      </c>
      <c r="G597" s="3" t="s">
        <v>14</v>
      </c>
      <c r="H597" s="3" t="s">
        <v>15</v>
      </c>
      <c r="I597" s="3">
        <v>2</v>
      </c>
      <c r="J597" s="3" t="s">
        <v>22</v>
      </c>
      <c r="K597" s="3" t="s">
        <v>32</v>
      </c>
      <c r="L597" s="3">
        <v>78</v>
      </c>
      <c r="M597" s="3" t="str">
        <f t="shared" si="9"/>
        <v>Old</v>
      </c>
      <c r="N597" s="3" t="s">
        <v>18</v>
      </c>
    </row>
    <row r="598" spans="1:14" x14ac:dyDescent="0.35">
      <c r="A598" s="3">
        <v>20343</v>
      </c>
      <c r="B598" s="3" t="s">
        <v>36</v>
      </c>
      <c r="C598" s="3" t="s">
        <v>38</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35">
      <c r="A599" s="3">
        <v>28997</v>
      </c>
      <c r="B599" s="3" t="s">
        <v>37</v>
      </c>
      <c r="C599" s="3" t="s">
        <v>39</v>
      </c>
      <c r="D599" s="5">
        <v>40000</v>
      </c>
      <c r="E599" s="3">
        <v>2</v>
      </c>
      <c r="F599" s="3" t="s">
        <v>27</v>
      </c>
      <c r="G599" s="3" t="s">
        <v>21</v>
      </c>
      <c r="H599" s="3" t="s">
        <v>18</v>
      </c>
      <c r="I599" s="3">
        <v>1</v>
      </c>
      <c r="J599" s="3" t="s">
        <v>22</v>
      </c>
      <c r="K599" s="3" t="s">
        <v>32</v>
      </c>
      <c r="L599" s="3">
        <v>58</v>
      </c>
      <c r="M599" s="3" t="str">
        <f t="shared" si="9"/>
        <v>Old</v>
      </c>
      <c r="N599" s="3" t="s">
        <v>15</v>
      </c>
    </row>
    <row r="600" spans="1:14" x14ac:dyDescent="0.35">
      <c r="A600" s="3">
        <v>24398</v>
      </c>
      <c r="B600" s="3" t="s">
        <v>36</v>
      </c>
      <c r="C600" s="3" t="s">
        <v>39</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35">
      <c r="A601" s="3">
        <v>19002</v>
      </c>
      <c r="B601" s="3" t="s">
        <v>36</v>
      </c>
      <c r="C601" s="3" t="s">
        <v>38</v>
      </c>
      <c r="D601" s="5">
        <v>60000</v>
      </c>
      <c r="E601" s="3">
        <v>2</v>
      </c>
      <c r="F601" s="3" t="s">
        <v>19</v>
      </c>
      <c r="G601" s="3" t="s">
        <v>21</v>
      </c>
      <c r="H601" s="3" t="s">
        <v>15</v>
      </c>
      <c r="I601" s="3">
        <v>1</v>
      </c>
      <c r="J601" s="3" t="s">
        <v>22</v>
      </c>
      <c r="K601" s="3" t="s">
        <v>32</v>
      </c>
      <c r="L601" s="3">
        <v>57</v>
      </c>
      <c r="M601" s="3" t="str">
        <f t="shared" si="9"/>
        <v>Old</v>
      </c>
      <c r="N601" s="3" t="s">
        <v>15</v>
      </c>
    </row>
    <row r="602" spans="1:14" x14ac:dyDescent="0.35">
      <c r="A602" s="3">
        <v>28609</v>
      </c>
      <c r="B602" s="3" t="s">
        <v>36</v>
      </c>
      <c r="C602" s="3" t="s">
        <v>39</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35">
      <c r="A603" s="3">
        <v>29231</v>
      </c>
      <c r="B603" s="3" t="s">
        <v>37</v>
      </c>
      <c r="C603" s="3" t="s">
        <v>39</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35">
      <c r="A604" s="3">
        <v>18858</v>
      </c>
      <c r="B604" s="3" t="s">
        <v>37</v>
      </c>
      <c r="C604" s="3" t="s">
        <v>39</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35">
      <c r="A605" s="3">
        <v>20000</v>
      </c>
      <c r="B605" s="3" t="s">
        <v>36</v>
      </c>
      <c r="C605" s="3" t="s">
        <v>39</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35">
      <c r="A606" s="3">
        <v>25261</v>
      </c>
      <c r="B606" s="3" t="s">
        <v>36</v>
      </c>
      <c r="C606" s="3" t="s">
        <v>39</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35">
      <c r="A607" s="3">
        <v>17458</v>
      </c>
      <c r="B607" s="3" t="s">
        <v>37</v>
      </c>
      <c r="C607" s="3" t="s">
        <v>39</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35">
      <c r="A608" s="3">
        <v>11644</v>
      </c>
      <c r="B608" s="3" t="s">
        <v>37</v>
      </c>
      <c r="C608" s="3" t="s">
        <v>39</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35">
      <c r="A609" s="3">
        <v>16145</v>
      </c>
      <c r="B609" s="3" t="s">
        <v>37</v>
      </c>
      <c r="C609" s="3" t="s">
        <v>38</v>
      </c>
      <c r="D609" s="5">
        <v>70000</v>
      </c>
      <c r="E609" s="3">
        <v>5</v>
      </c>
      <c r="F609" s="3" t="s">
        <v>31</v>
      </c>
      <c r="G609" s="3" t="s">
        <v>21</v>
      </c>
      <c r="H609" s="3" t="s">
        <v>15</v>
      </c>
      <c r="I609" s="3">
        <v>3</v>
      </c>
      <c r="J609" s="3" t="s">
        <v>46</v>
      </c>
      <c r="K609" s="3" t="s">
        <v>32</v>
      </c>
      <c r="L609" s="3">
        <v>46</v>
      </c>
      <c r="M609" s="3" t="str">
        <f t="shared" si="9"/>
        <v>Middle Age</v>
      </c>
      <c r="N609" s="3" t="s">
        <v>15</v>
      </c>
    </row>
    <row r="610" spans="1:14" x14ac:dyDescent="0.35">
      <c r="A610" s="3">
        <v>16890</v>
      </c>
      <c r="B610" s="3" t="s">
        <v>36</v>
      </c>
      <c r="C610" s="3" t="s">
        <v>39</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35">
      <c r="A611" s="3">
        <v>25983</v>
      </c>
      <c r="B611" s="3" t="s">
        <v>36</v>
      </c>
      <c r="C611" s="3" t="s">
        <v>39</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35">
      <c r="A612" s="3">
        <v>14633</v>
      </c>
      <c r="B612" s="3" t="s">
        <v>36</v>
      </c>
      <c r="C612" s="3" t="s">
        <v>39</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35">
      <c r="A613" s="3">
        <v>22994</v>
      </c>
      <c r="B613" s="3" t="s">
        <v>36</v>
      </c>
      <c r="C613" s="3" t="s">
        <v>38</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35">
      <c r="A614" s="3">
        <v>22983</v>
      </c>
      <c r="B614" s="3" t="s">
        <v>37</v>
      </c>
      <c r="C614" s="3" t="s">
        <v>38</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35">
      <c r="A615" s="3">
        <v>25184</v>
      </c>
      <c r="B615" s="3" t="s">
        <v>37</v>
      </c>
      <c r="C615" s="3" t="s">
        <v>39</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35">
      <c r="A616" s="3">
        <v>14469</v>
      </c>
      <c r="B616" s="3" t="s">
        <v>36</v>
      </c>
      <c r="C616" s="3" t="s">
        <v>38</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35">
      <c r="A617" s="3">
        <v>11538</v>
      </c>
      <c r="B617" s="3" t="s">
        <v>37</v>
      </c>
      <c r="C617" s="3" t="s">
        <v>38</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35">
      <c r="A618" s="3">
        <v>16245</v>
      </c>
      <c r="B618" s="3" t="s">
        <v>37</v>
      </c>
      <c r="C618" s="3" t="s">
        <v>38</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35">
      <c r="A619" s="3">
        <v>17858</v>
      </c>
      <c r="B619" s="3" t="s">
        <v>36</v>
      </c>
      <c r="C619" s="3" t="s">
        <v>39</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35">
      <c r="A620" s="3">
        <v>25347</v>
      </c>
      <c r="B620" s="3" t="s">
        <v>37</v>
      </c>
      <c r="C620" s="3" t="s">
        <v>38</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35">
      <c r="A621" s="3">
        <v>15814</v>
      </c>
      <c r="B621" s="3" t="s">
        <v>37</v>
      </c>
      <c r="C621" s="3" t="s">
        <v>38</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35">
      <c r="A622" s="3">
        <v>11259</v>
      </c>
      <c r="B622" s="3" t="s">
        <v>36</v>
      </c>
      <c r="C622" s="3" t="s">
        <v>38</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35">
      <c r="A623" s="3">
        <v>11200</v>
      </c>
      <c r="B623" s="3" t="s">
        <v>36</v>
      </c>
      <c r="C623" s="3" t="s">
        <v>39</v>
      </c>
      <c r="D623" s="5">
        <v>70000</v>
      </c>
      <c r="E623" s="3">
        <v>4</v>
      </c>
      <c r="F623" s="3" t="s">
        <v>13</v>
      </c>
      <c r="G623" s="3" t="s">
        <v>28</v>
      </c>
      <c r="H623" s="3" t="s">
        <v>15</v>
      </c>
      <c r="I623" s="3">
        <v>1</v>
      </c>
      <c r="J623" s="3" t="s">
        <v>26</v>
      </c>
      <c r="K623" s="3" t="s">
        <v>32</v>
      </c>
      <c r="L623" s="3">
        <v>58</v>
      </c>
      <c r="M623" s="3" t="str">
        <f t="shared" si="9"/>
        <v>Old</v>
      </c>
      <c r="N623" s="3" t="s">
        <v>18</v>
      </c>
    </row>
    <row r="624" spans="1:14" x14ac:dyDescent="0.35">
      <c r="A624" s="3">
        <v>25101</v>
      </c>
      <c r="B624" s="3" t="s">
        <v>36</v>
      </c>
      <c r="C624" s="3" t="s">
        <v>39</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35">
      <c r="A625" s="3">
        <v>21801</v>
      </c>
      <c r="B625" s="3" t="s">
        <v>36</v>
      </c>
      <c r="C625" s="3" t="s">
        <v>38</v>
      </c>
      <c r="D625" s="5">
        <v>70000</v>
      </c>
      <c r="E625" s="3">
        <v>4</v>
      </c>
      <c r="F625" s="3" t="s">
        <v>19</v>
      </c>
      <c r="G625" s="3" t="s">
        <v>21</v>
      </c>
      <c r="H625" s="3" t="s">
        <v>15</v>
      </c>
      <c r="I625" s="3">
        <v>1</v>
      </c>
      <c r="J625" s="3" t="s">
        <v>26</v>
      </c>
      <c r="K625" s="3" t="s">
        <v>32</v>
      </c>
      <c r="L625" s="3">
        <v>55</v>
      </c>
      <c r="M625" s="3" t="str">
        <f t="shared" si="9"/>
        <v>Old</v>
      </c>
      <c r="N625" s="3" t="s">
        <v>18</v>
      </c>
    </row>
    <row r="626" spans="1:14" x14ac:dyDescent="0.35">
      <c r="A626" s="3">
        <v>25943</v>
      </c>
      <c r="B626" s="3" t="s">
        <v>37</v>
      </c>
      <c r="C626" s="3" t="s">
        <v>38</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35">
      <c r="A627" s="3">
        <v>22127</v>
      </c>
      <c r="B627" s="3" t="s">
        <v>36</v>
      </c>
      <c r="C627" s="3" t="s">
        <v>39</v>
      </c>
      <c r="D627" s="5">
        <v>60000</v>
      </c>
      <c r="E627" s="3">
        <v>3</v>
      </c>
      <c r="F627" s="3" t="s">
        <v>31</v>
      </c>
      <c r="G627" s="3" t="s">
        <v>28</v>
      </c>
      <c r="H627" s="3" t="s">
        <v>15</v>
      </c>
      <c r="I627" s="3">
        <v>2</v>
      </c>
      <c r="J627" s="3" t="s">
        <v>26</v>
      </c>
      <c r="K627" s="3" t="s">
        <v>32</v>
      </c>
      <c r="L627" s="3">
        <v>67</v>
      </c>
      <c r="M627" s="3" t="str">
        <f t="shared" si="9"/>
        <v>Old</v>
      </c>
      <c r="N627" s="3" t="s">
        <v>18</v>
      </c>
    </row>
    <row r="628" spans="1:14" x14ac:dyDescent="0.35">
      <c r="A628" s="3">
        <v>20414</v>
      </c>
      <c r="B628" s="3" t="s">
        <v>36</v>
      </c>
      <c r="C628" s="3" t="s">
        <v>38</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35">
      <c r="A629" s="3">
        <v>23672</v>
      </c>
      <c r="B629" s="3" t="s">
        <v>36</v>
      </c>
      <c r="C629" s="3" t="s">
        <v>38</v>
      </c>
      <c r="D629" s="5">
        <v>60000</v>
      </c>
      <c r="E629" s="3">
        <v>3</v>
      </c>
      <c r="F629" s="3" t="s">
        <v>31</v>
      </c>
      <c r="G629" s="3" t="s">
        <v>28</v>
      </c>
      <c r="H629" s="3" t="s">
        <v>15</v>
      </c>
      <c r="I629" s="3">
        <v>2</v>
      </c>
      <c r="J629" s="3" t="s">
        <v>26</v>
      </c>
      <c r="K629" s="3" t="s">
        <v>32</v>
      </c>
      <c r="L629" s="3">
        <v>67</v>
      </c>
      <c r="M629" s="3" t="str">
        <f t="shared" si="9"/>
        <v>Old</v>
      </c>
      <c r="N629" s="3" t="s">
        <v>18</v>
      </c>
    </row>
    <row r="630" spans="1:14" x14ac:dyDescent="0.35">
      <c r="A630" s="3">
        <v>29255</v>
      </c>
      <c r="B630" s="3" t="s">
        <v>37</v>
      </c>
      <c r="C630" s="3" t="s">
        <v>39</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35">
      <c r="A631" s="3">
        <v>28815</v>
      </c>
      <c r="B631" s="3" t="s">
        <v>36</v>
      </c>
      <c r="C631" s="3" t="s">
        <v>38</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35">
      <c r="A632" s="3">
        <v>27753</v>
      </c>
      <c r="B632" s="3" t="s">
        <v>36</v>
      </c>
      <c r="C632" s="3" t="s">
        <v>39</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35">
      <c r="A633" s="3">
        <v>27643</v>
      </c>
      <c r="B633" s="3" t="s">
        <v>37</v>
      </c>
      <c r="C633" s="3" t="s">
        <v>39</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35">
      <c r="A634" s="3">
        <v>13754</v>
      </c>
      <c r="B634" s="3" t="s">
        <v>37</v>
      </c>
      <c r="C634" s="3" t="s">
        <v>38</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35">
      <c r="A635" s="3">
        <v>22088</v>
      </c>
      <c r="B635" s="3" t="s">
        <v>36</v>
      </c>
      <c r="C635" s="3" t="s">
        <v>38</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35">
      <c r="A636" s="3">
        <v>27388</v>
      </c>
      <c r="B636" s="3" t="s">
        <v>36</v>
      </c>
      <c r="C636" s="3" t="s">
        <v>39</v>
      </c>
      <c r="D636" s="5">
        <v>60000</v>
      </c>
      <c r="E636" s="3">
        <v>3</v>
      </c>
      <c r="F636" s="3" t="s">
        <v>13</v>
      </c>
      <c r="G636" s="3" t="s">
        <v>28</v>
      </c>
      <c r="H636" s="3" t="s">
        <v>18</v>
      </c>
      <c r="I636" s="3">
        <v>2</v>
      </c>
      <c r="J636" s="3" t="s">
        <v>26</v>
      </c>
      <c r="K636" s="3" t="s">
        <v>32</v>
      </c>
      <c r="L636" s="3">
        <v>66</v>
      </c>
      <c r="M636" s="3" t="str">
        <f t="shared" si="9"/>
        <v>Old</v>
      </c>
      <c r="N636" s="3" t="s">
        <v>18</v>
      </c>
    </row>
    <row r="637" spans="1:14" x14ac:dyDescent="0.35">
      <c r="A637" s="3">
        <v>24745</v>
      </c>
      <c r="B637" s="3" t="s">
        <v>37</v>
      </c>
      <c r="C637" s="3" t="s">
        <v>38</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35">
      <c r="A638" s="3">
        <v>29237</v>
      </c>
      <c r="B638" s="3" t="s">
        <v>37</v>
      </c>
      <c r="C638" s="3" t="s">
        <v>38</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35">
      <c r="A639" s="3">
        <v>15272</v>
      </c>
      <c r="B639" s="3" t="s">
        <v>37</v>
      </c>
      <c r="C639" s="3" t="s">
        <v>39</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35">
      <c r="A640" s="3">
        <v>18949</v>
      </c>
      <c r="B640" s="3" t="s">
        <v>37</v>
      </c>
      <c r="C640" s="3" t="s">
        <v>39</v>
      </c>
      <c r="D640" s="5">
        <v>70000</v>
      </c>
      <c r="E640" s="3">
        <v>0</v>
      </c>
      <c r="F640" s="3" t="s">
        <v>31</v>
      </c>
      <c r="G640" s="3" t="s">
        <v>28</v>
      </c>
      <c r="H640" s="3" t="s">
        <v>15</v>
      </c>
      <c r="I640" s="3">
        <v>2</v>
      </c>
      <c r="J640" s="3" t="s">
        <v>23</v>
      </c>
      <c r="K640" s="3" t="s">
        <v>32</v>
      </c>
      <c r="L640" s="3">
        <v>74</v>
      </c>
      <c r="M640" s="3" t="str">
        <f t="shared" si="9"/>
        <v>Old</v>
      </c>
      <c r="N640" s="3" t="s">
        <v>15</v>
      </c>
    </row>
    <row r="641" spans="1:14" x14ac:dyDescent="0.35">
      <c r="A641" s="3">
        <v>14507</v>
      </c>
      <c r="B641" s="3" t="s">
        <v>36</v>
      </c>
      <c r="C641" s="3" t="s">
        <v>39</v>
      </c>
      <c r="D641" s="5">
        <v>100000</v>
      </c>
      <c r="E641" s="3">
        <v>2</v>
      </c>
      <c r="F641" s="3" t="s">
        <v>31</v>
      </c>
      <c r="G641" s="3" t="s">
        <v>28</v>
      </c>
      <c r="H641" s="3" t="s">
        <v>15</v>
      </c>
      <c r="I641" s="3">
        <v>3</v>
      </c>
      <c r="J641" s="3" t="s">
        <v>26</v>
      </c>
      <c r="K641" s="3" t="s">
        <v>32</v>
      </c>
      <c r="L641" s="3">
        <v>65</v>
      </c>
      <c r="M641" s="3" t="str">
        <f t="shared" si="9"/>
        <v>Old</v>
      </c>
      <c r="N641" s="3" t="s">
        <v>18</v>
      </c>
    </row>
    <row r="642" spans="1:14" x14ac:dyDescent="0.35">
      <c r="A642" s="3">
        <v>25886</v>
      </c>
      <c r="B642" s="3" t="s">
        <v>36</v>
      </c>
      <c r="C642" s="3" t="s">
        <v>38</v>
      </c>
      <c r="D642" s="5">
        <v>60000</v>
      </c>
      <c r="E642" s="3">
        <v>2</v>
      </c>
      <c r="F642" s="3" t="s">
        <v>19</v>
      </c>
      <c r="G642" s="3" t="s">
        <v>21</v>
      </c>
      <c r="H642" s="3" t="s">
        <v>15</v>
      </c>
      <c r="I642" s="3">
        <v>2</v>
      </c>
      <c r="J642" s="3" t="s">
        <v>22</v>
      </c>
      <c r="K642" s="3" t="s">
        <v>32</v>
      </c>
      <c r="L642" s="3">
        <v>56</v>
      </c>
      <c r="M642" s="3" t="str">
        <f t="shared" si="9"/>
        <v>Old</v>
      </c>
      <c r="N642" s="3" t="s">
        <v>15</v>
      </c>
    </row>
    <row r="643" spans="1:14" x14ac:dyDescent="0.35">
      <c r="A643" s="3">
        <v>21441</v>
      </c>
      <c r="B643" s="3" t="s">
        <v>36</v>
      </c>
      <c r="C643" s="3" t="s">
        <v>39</v>
      </c>
      <c r="D643" s="5">
        <v>50000</v>
      </c>
      <c r="E643" s="3">
        <v>4</v>
      </c>
      <c r="F643" s="3" t="s">
        <v>13</v>
      </c>
      <c r="G643" s="3" t="s">
        <v>28</v>
      </c>
      <c r="H643" s="3" t="s">
        <v>15</v>
      </c>
      <c r="I643" s="3">
        <v>2</v>
      </c>
      <c r="J643" s="3" t="s">
        <v>46</v>
      </c>
      <c r="K643" s="3" t="s">
        <v>32</v>
      </c>
      <c r="L643" s="3">
        <v>64</v>
      </c>
      <c r="M643" s="3" t="str">
        <f t="shared" ref="M643:M706" si="10">IF(L643&gt;54,"Old",IF(L643&gt;=31,"Middle Age",IF(L643&lt;31,"Adolescent","Invalid")))</f>
        <v>Old</v>
      </c>
      <c r="N643" s="3" t="s">
        <v>18</v>
      </c>
    </row>
    <row r="644" spans="1:14" x14ac:dyDescent="0.35">
      <c r="A644" s="3">
        <v>21741</v>
      </c>
      <c r="B644" s="3" t="s">
        <v>36</v>
      </c>
      <c r="C644" s="3" t="s">
        <v>38</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35">
      <c r="A645" s="3">
        <v>14572</v>
      </c>
      <c r="B645" s="3" t="s">
        <v>36</v>
      </c>
      <c r="C645" s="3" t="s">
        <v>38</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35">
      <c r="A646" s="3">
        <v>23368</v>
      </c>
      <c r="B646" s="3" t="s">
        <v>36</v>
      </c>
      <c r="C646" s="3" t="s">
        <v>38</v>
      </c>
      <c r="D646" s="5">
        <v>60000</v>
      </c>
      <c r="E646" s="3">
        <v>5</v>
      </c>
      <c r="F646" s="3" t="s">
        <v>13</v>
      </c>
      <c r="G646" s="3" t="s">
        <v>14</v>
      </c>
      <c r="H646" s="3" t="s">
        <v>15</v>
      </c>
      <c r="I646" s="3">
        <v>3</v>
      </c>
      <c r="J646" s="3" t="s">
        <v>46</v>
      </c>
      <c r="K646" s="3" t="s">
        <v>32</v>
      </c>
      <c r="L646" s="3">
        <v>41</v>
      </c>
      <c r="M646" s="3" t="str">
        <f t="shared" si="10"/>
        <v>Middle Age</v>
      </c>
      <c r="N646" s="3" t="s">
        <v>18</v>
      </c>
    </row>
    <row r="647" spans="1:14" x14ac:dyDescent="0.35">
      <c r="A647" s="3">
        <v>16217</v>
      </c>
      <c r="B647" s="3" t="s">
        <v>37</v>
      </c>
      <c r="C647" s="3" t="s">
        <v>38</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35">
      <c r="A648" s="3">
        <v>16247</v>
      </c>
      <c r="B648" s="3" t="s">
        <v>37</v>
      </c>
      <c r="C648" s="3" t="s">
        <v>38</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35">
      <c r="A649" s="3">
        <v>22010</v>
      </c>
      <c r="B649" s="3" t="s">
        <v>37</v>
      </c>
      <c r="C649" s="3" t="s">
        <v>39</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35">
      <c r="A650" s="3">
        <v>25872</v>
      </c>
      <c r="B650" s="3" t="s">
        <v>37</v>
      </c>
      <c r="C650" s="3" t="s">
        <v>38</v>
      </c>
      <c r="D650" s="5">
        <v>70000</v>
      </c>
      <c r="E650" s="3">
        <v>2</v>
      </c>
      <c r="F650" s="3" t="s">
        <v>13</v>
      </c>
      <c r="G650" s="3" t="s">
        <v>28</v>
      </c>
      <c r="H650" s="3" t="s">
        <v>18</v>
      </c>
      <c r="I650" s="3">
        <v>1</v>
      </c>
      <c r="J650" s="3" t="s">
        <v>22</v>
      </c>
      <c r="K650" s="3" t="s">
        <v>32</v>
      </c>
      <c r="L650" s="3">
        <v>58</v>
      </c>
      <c r="M650" s="3" t="str">
        <f t="shared" si="10"/>
        <v>Old</v>
      </c>
      <c r="N650" s="3" t="s">
        <v>15</v>
      </c>
    </row>
    <row r="651" spans="1:14" x14ac:dyDescent="0.35">
      <c r="A651" s="3">
        <v>19164</v>
      </c>
      <c r="B651" s="3" t="s">
        <v>37</v>
      </c>
      <c r="C651" s="3" t="s">
        <v>38</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35">
      <c r="A652" s="3">
        <v>18435</v>
      </c>
      <c r="B652" s="3" t="s">
        <v>37</v>
      </c>
      <c r="C652" s="3" t="s">
        <v>38</v>
      </c>
      <c r="D652" s="5">
        <v>70000</v>
      </c>
      <c r="E652" s="3">
        <v>5</v>
      </c>
      <c r="F652" s="3" t="s">
        <v>31</v>
      </c>
      <c r="G652" s="3" t="s">
        <v>28</v>
      </c>
      <c r="H652" s="3" t="s">
        <v>15</v>
      </c>
      <c r="I652" s="3">
        <v>2</v>
      </c>
      <c r="J652" s="3" t="s">
        <v>46</v>
      </c>
      <c r="K652" s="3" t="s">
        <v>32</v>
      </c>
      <c r="L652" s="3">
        <v>67</v>
      </c>
      <c r="M652" s="3" t="str">
        <f t="shared" si="10"/>
        <v>Old</v>
      </c>
      <c r="N652" s="3" t="s">
        <v>15</v>
      </c>
    </row>
    <row r="653" spans="1:14" x14ac:dyDescent="0.35">
      <c r="A653" s="3">
        <v>14284</v>
      </c>
      <c r="B653" s="3" t="s">
        <v>37</v>
      </c>
      <c r="C653" s="3" t="s">
        <v>39</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35">
      <c r="A654" s="3">
        <v>11287</v>
      </c>
      <c r="B654" s="3" t="s">
        <v>36</v>
      </c>
      <c r="C654" s="3" t="s">
        <v>39</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35">
      <c r="A655" s="3">
        <v>13066</v>
      </c>
      <c r="B655" s="3" t="s">
        <v>37</v>
      </c>
      <c r="C655" s="3" t="s">
        <v>39</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35">
      <c r="A656" s="3">
        <v>29106</v>
      </c>
      <c r="B656" s="3" t="s">
        <v>37</v>
      </c>
      <c r="C656" s="3" t="s">
        <v>39</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35">
      <c r="A657" s="3">
        <v>26236</v>
      </c>
      <c r="B657" s="3" t="s">
        <v>36</v>
      </c>
      <c r="C657" s="3" t="s">
        <v>38</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35">
      <c r="A658" s="3">
        <v>17531</v>
      </c>
      <c r="B658" s="3" t="s">
        <v>36</v>
      </c>
      <c r="C658" s="3" t="s">
        <v>39</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35">
      <c r="A659" s="3">
        <v>12964</v>
      </c>
      <c r="B659" s="3" t="s">
        <v>36</v>
      </c>
      <c r="C659" s="3" t="s">
        <v>39</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35">
      <c r="A660" s="3">
        <v>19133</v>
      </c>
      <c r="B660" s="3" t="s">
        <v>37</v>
      </c>
      <c r="C660" s="3" t="s">
        <v>39</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35">
      <c r="A661" s="3">
        <v>24643</v>
      </c>
      <c r="B661" s="3" t="s">
        <v>37</v>
      </c>
      <c r="C661" s="3" t="s">
        <v>38</v>
      </c>
      <c r="D661" s="5">
        <v>60000</v>
      </c>
      <c r="E661" s="3">
        <v>4</v>
      </c>
      <c r="F661" s="3" t="s">
        <v>13</v>
      </c>
      <c r="G661" s="3" t="s">
        <v>28</v>
      </c>
      <c r="H661" s="3" t="s">
        <v>15</v>
      </c>
      <c r="I661" s="3">
        <v>2</v>
      </c>
      <c r="J661" s="3" t="s">
        <v>46</v>
      </c>
      <c r="K661" s="3" t="s">
        <v>32</v>
      </c>
      <c r="L661" s="3">
        <v>63</v>
      </c>
      <c r="M661" s="3" t="str">
        <f t="shared" si="10"/>
        <v>Old</v>
      </c>
      <c r="N661" s="3" t="s">
        <v>18</v>
      </c>
    </row>
    <row r="662" spans="1:14" x14ac:dyDescent="0.35">
      <c r="A662" s="3">
        <v>21599</v>
      </c>
      <c r="B662" s="3" t="s">
        <v>36</v>
      </c>
      <c r="C662" s="3" t="s">
        <v>38</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35">
      <c r="A663" s="3">
        <v>22976</v>
      </c>
      <c r="B663" s="3" t="s">
        <v>37</v>
      </c>
      <c r="C663" s="3" t="s">
        <v>39</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35">
      <c r="A664" s="3">
        <v>27637</v>
      </c>
      <c r="B664" s="3" t="s">
        <v>37</v>
      </c>
      <c r="C664" s="3" t="s">
        <v>38</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35">
      <c r="A665" s="3">
        <v>11890</v>
      </c>
      <c r="B665" s="3" t="s">
        <v>36</v>
      </c>
      <c r="C665" s="3" t="s">
        <v>38</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35">
      <c r="A666" s="3">
        <v>28580</v>
      </c>
      <c r="B666" s="3" t="s">
        <v>36</v>
      </c>
      <c r="C666" s="3" t="s">
        <v>38</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35">
      <c r="A667" s="3">
        <v>14443</v>
      </c>
      <c r="B667" s="3" t="s">
        <v>36</v>
      </c>
      <c r="C667" s="3" t="s">
        <v>39</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35">
      <c r="A668" s="3">
        <v>17864</v>
      </c>
      <c r="B668" s="3" t="s">
        <v>36</v>
      </c>
      <c r="C668" s="3" t="s">
        <v>38</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35">
      <c r="A669" s="3">
        <v>20505</v>
      </c>
      <c r="B669" s="3" t="s">
        <v>36</v>
      </c>
      <c r="C669" s="3" t="s">
        <v>38</v>
      </c>
      <c r="D669" s="5">
        <v>40000</v>
      </c>
      <c r="E669" s="3">
        <v>5</v>
      </c>
      <c r="F669" s="3" t="s">
        <v>27</v>
      </c>
      <c r="G669" s="3" t="s">
        <v>21</v>
      </c>
      <c r="H669" s="3" t="s">
        <v>18</v>
      </c>
      <c r="I669" s="3">
        <v>2</v>
      </c>
      <c r="J669" s="3" t="s">
        <v>46</v>
      </c>
      <c r="K669" s="3" t="s">
        <v>32</v>
      </c>
      <c r="L669" s="3">
        <v>61</v>
      </c>
      <c r="M669" s="3" t="str">
        <f t="shared" si="10"/>
        <v>Old</v>
      </c>
      <c r="N669" s="3" t="s">
        <v>18</v>
      </c>
    </row>
    <row r="670" spans="1:14" x14ac:dyDescent="0.35">
      <c r="A670" s="3">
        <v>14592</v>
      </c>
      <c r="B670" s="3" t="s">
        <v>36</v>
      </c>
      <c r="C670" s="3" t="s">
        <v>38</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35">
      <c r="A671" s="3">
        <v>22227</v>
      </c>
      <c r="B671" s="3" t="s">
        <v>36</v>
      </c>
      <c r="C671" s="3" t="s">
        <v>38</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35">
      <c r="A672" s="3">
        <v>21471</v>
      </c>
      <c r="B672" s="3" t="s">
        <v>36</v>
      </c>
      <c r="C672" s="3" t="s">
        <v>39</v>
      </c>
      <c r="D672" s="5">
        <v>70000</v>
      </c>
      <c r="E672" s="3">
        <v>2</v>
      </c>
      <c r="F672" s="3" t="s">
        <v>19</v>
      </c>
      <c r="G672" s="3" t="s">
        <v>21</v>
      </c>
      <c r="H672" s="3" t="s">
        <v>15</v>
      </c>
      <c r="I672" s="3">
        <v>1</v>
      </c>
      <c r="J672" s="3" t="s">
        <v>46</v>
      </c>
      <c r="K672" s="3" t="s">
        <v>32</v>
      </c>
      <c r="L672" s="3">
        <v>59</v>
      </c>
      <c r="M672" s="3" t="str">
        <f t="shared" si="10"/>
        <v>Old</v>
      </c>
      <c r="N672" s="3" t="s">
        <v>18</v>
      </c>
    </row>
    <row r="673" spans="1:14" x14ac:dyDescent="0.35">
      <c r="A673" s="3">
        <v>22252</v>
      </c>
      <c r="B673" s="3" t="s">
        <v>37</v>
      </c>
      <c r="C673" s="3" t="s">
        <v>38</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35">
      <c r="A674" s="3">
        <v>21260</v>
      </c>
      <c r="B674" s="3" t="s">
        <v>37</v>
      </c>
      <c r="C674" s="3" t="s">
        <v>38</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35">
      <c r="A675" s="3">
        <v>11817</v>
      </c>
      <c r="B675" s="3" t="s">
        <v>37</v>
      </c>
      <c r="C675" s="3" t="s">
        <v>38</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35">
      <c r="A676" s="3">
        <v>19223</v>
      </c>
      <c r="B676" s="3" t="s">
        <v>36</v>
      </c>
      <c r="C676" s="3" t="s">
        <v>38</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35">
      <c r="A677" s="3">
        <v>18517</v>
      </c>
      <c r="B677" s="3" t="s">
        <v>36</v>
      </c>
      <c r="C677" s="3" t="s">
        <v>39</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35">
      <c r="A678" s="3">
        <v>21717</v>
      </c>
      <c r="B678" s="3" t="s">
        <v>36</v>
      </c>
      <c r="C678" s="3" t="s">
        <v>39</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35">
      <c r="A679" s="3">
        <v>13760</v>
      </c>
      <c r="B679" s="3" t="s">
        <v>36</v>
      </c>
      <c r="C679" s="3" t="s">
        <v>39</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35">
      <c r="A680" s="3">
        <v>18145</v>
      </c>
      <c r="B680" s="3" t="s">
        <v>36</v>
      </c>
      <c r="C680" s="3" t="s">
        <v>39</v>
      </c>
      <c r="D680" s="5">
        <v>80000</v>
      </c>
      <c r="E680" s="3">
        <v>5</v>
      </c>
      <c r="F680" s="3" t="s">
        <v>13</v>
      </c>
      <c r="G680" s="3" t="s">
        <v>28</v>
      </c>
      <c r="H680" s="3" t="s">
        <v>18</v>
      </c>
      <c r="I680" s="3">
        <v>2</v>
      </c>
      <c r="J680" s="3" t="s">
        <v>22</v>
      </c>
      <c r="K680" s="3" t="s">
        <v>17</v>
      </c>
      <c r="L680" s="3">
        <v>62</v>
      </c>
      <c r="M680" s="3" t="str">
        <f t="shared" si="10"/>
        <v>Old</v>
      </c>
      <c r="N680" s="3" t="s">
        <v>18</v>
      </c>
    </row>
    <row r="681" spans="1:14" x14ac:dyDescent="0.35">
      <c r="A681" s="3">
        <v>21770</v>
      </c>
      <c r="B681" s="3" t="s">
        <v>36</v>
      </c>
      <c r="C681" s="3" t="s">
        <v>39</v>
      </c>
      <c r="D681" s="5">
        <v>60000</v>
      </c>
      <c r="E681" s="3">
        <v>4</v>
      </c>
      <c r="F681" s="3" t="s">
        <v>13</v>
      </c>
      <c r="G681" s="3" t="s">
        <v>28</v>
      </c>
      <c r="H681" s="3" t="s">
        <v>15</v>
      </c>
      <c r="I681" s="3">
        <v>2</v>
      </c>
      <c r="J681" s="3" t="s">
        <v>46</v>
      </c>
      <c r="K681" s="3" t="s">
        <v>32</v>
      </c>
      <c r="L681" s="3">
        <v>60</v>
      </c>
      <c r="M681" s="3" t="str">
        <f t="shared" si="10"/>
        <v>Old</v>
      </c>
      <c r="N681" s="3" t="s">
        <v>18</v>
      </c>
    </row>
    <row r="682" spans="1:14" x14ac:dyDescent="0.35">
      <c r="A682" s="3">
        <v>11165</v>
      </c>
      <c r="B682" s="3" t="s">
        <v>36</v>
      </c>
      <c r="C682" s="3" t="s">
        <v>38</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35">
      <c r="A683" s="3">
        <v>16377</v>
      </c>
      <c r="B683" s="3" t="s">
        <v>37</v>
      </c>
      <c r="C683" s="3" t="s">
        <v>38</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35">
      <c r="A684" s="3">
        <v>26248</v>
      </c>
      <c r="B684" s="3" t="s">
        <v>36</v>
      </c>
      <c r="C684" s="3" t="s">
        <v>39</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35">
      <c r="A685" s="3">
        <v>23461</v>
      </c>
      <c r="B685" s="3" t="s">
        <v>36</v>
      </c>
      <c r="C685" s="3" t="s">
        <v>38</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35">
      <c r="A686" s="3">
        <v>29133</v>
      </c>
      <c r="B686" s="3" t="s">
        <v>37</v>
      </c>
      <c r="C686" s="3" t="s">
        <v>38</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35">
      <c r="A687" s="3">
        <v>27673</v>
      </c>
      <c r="B687" s="3" t="s">
        <v>37</v>
      </c>
      <c r="C687" s="3" t="s">
        <v>38</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35">
      <c r="A688" s="3">
        <v>12774</v>
      </c>
      <c r="B688" s="3" t="s">
        <v>36</v>
      </c>
      <c r="C688" s="3" t="s">
        <v>38</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35">
      <c r="A689" s="3">
        <v>18910</v>
      </c>
      <c r="B689" s="3" t="s">
        <v>37</v>
      </c>
      <c r="C689" s="3" t="s">
        <v>39</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35">
      <c r="A690" s="3">
        <v>11699</v>
      </c>
      <c r="B690" s="3" t="s">
        <v>37</v>
      </c>
      <c r="C690" s="3" t="s">
        <v>39</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35">
      <c r="A691" s="3">
        <v>16725</v>
      </c>
      <c r="B691" s="3" t="s">
        <v>36</v>
      </c>
      <c r="C691" s="3" t="s">
        <v>39</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35">
      <c r="A692" s="3">
        <v>28269</v>
      </c>
      <c r="B692" s="3" t="s">
        <v>37</v>
      </c>
      <c r="C692" s="3" t="s">
        <v>38</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35">
      <c r="A693" s="3">
        <v>23144</v>
      </c>
      <c r="B693" s="3" t="s">
        <v>36</v>
      </c>
      <c r="C693" s="3" t="s">
        <v>39</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35">
      <c r="A694" s="3">
        <v>23376</v>
      </c>
      <c r="B694" s="3" t="s">
        <v>36</v>
      </c>
      <c r="C694" s="3" t="s">
        <v>39</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35">
      <c r="A695" s="3">
        <v>25970</v>
      </c>
      <c r="B695" s="3" t="s">
        <v>37</v>
      </c>
      <c r="C695" s="3" t="s">
        <v>38</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35">
      <c r="A696" s="3">
        <v>28068</v>
      </c>
      <c r="B696" s="3" t="s">
        <v>37</v>
      </c>
      <c r="C696" s="3" t="s">
        <v>38</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35">
      <c r="A697" s="3">
        <v>18390</v>
      </c>
      <c r="B697" s="3" t="s">
        <v>36</v>
      </c>
      <c r="C697" s="3" t="s">
        <v>39</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35">
      <c r="A698" s="3">
        <v>29112</v>
      </c>
      <c r="B698" s="3" t="s">
        <v>37</v>
      </c>
      <c r="C698" s="3" t="s">
        <v>39</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35">
      <c r="A699" s="3">
        <v>14090</v>
      </c>
      <c r="B699" s="3" t="s">
        <v>36</v>
      </c>
      <c r="C699" s="3" t="s">
        <v>38</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35">
      <c r="A700" s="3">
        <v>27040</v>
      </c>
      <c r="B700" s="3" t="s">
        <v>36</v>
      </c>
      <c r="C700" s="3" t="s">
        <v>39</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35">
      <c r="A701" s="3">
        <v>23479</v>
      </c>
      <c r="B701" s="3" t="s">
        <v>37</v>
      </c>
      <c r="C701" s="3" t="s">
        <v>39</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35">
      <c r="A702" s="3">
        <v>16795</v>
      </c>
      <c r="B702" s="3" t="s">
        <v>36</v>
      </c>
      <c r="C702" s="3" t="s">
        <v>38</v>
      </c>
      <c r="D702" s="5">
        <v>70000</v>
      </c>
      <c r="E702" s="3">
        <v>4</v>
      </c>
      <c r="F702" s="3" t="s">
        <v>13</v>
      </c>
      <c r="G702" s="3" t="s">
        <v>28</v>
      </c>
      <c r="H702" s="3" t="s">
        <v>15</v>
      </c>
      <c r="I702" s="3">
        <v>1</v>
      </c>
      <c r="J702" s="3" t="s">
        <v>26</v>
      </c>
      <c r="K702" s="3" t="s">
        <v>32</v>
      </c>
      <c r="L702" s="3">
        <v>59</v>
      </c>
      <c r="M702" s="3" t="str">
        <f t="shared" si="10"/>
        <v>Old</v>
      </c>
      <c r="N702" s="3" t="s">
        <v>18</v>
      </c>
    </row>
    <row r="703" spans="1:14" x14ac:dyDescent="0.35">
      <c r="A703" s="3">
        <v>22014</v>
      </c>
      <c r="B703" s="3" t="s">
        <v>37</v>
      </c>
      <c r="C703" s="3" t="s">
        <v>39</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35">
      <c r="A704" s="3">
        <v>13314</v>
      </c>
      <c r="B704" s="3" t="s">
        <v>36</v>
      </c>
      <c r="C704" s="3" t="s">
        <v>39</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35">
      <c r="A705" s="3">
        <v>11619</v>
      </c>
      <c r="B705" s="3" t="s">
        <v>37</v>
      </c>
      <c r="C705" s="3" t="s">
        <v>38</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35">
      <c r="A706" s="3">
        <v>29132</v>
      </c>
      <c r="B706" s="3" t="s">
        <v>37</v>
      </c>
      <c r="C706" s="3" t="s">
        <v>38</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35">
      <c r="A707" s="3">
        <v>11199</v>
      </c>
      <c r="B707" s="3" t="s">
        <v>36</v>
      </c>
      <c r="C707" s="3" t="s">
        <v>38</v>
      </c>
      <c r="D707" s="5">
        <v>70000</v>
      </c>
      <c r="E707" s="3">
        <v>4</v>
      </c>
      <c r="F707" s="3" t="s">
        <v>13</v>
      </c>
      <c r="G707" s="3" t="s">
        <v>28</v>
      </c>
      <c r="H707" s="3" t="s">
        <v>15</v>
      </c>
      <c r="I707" s="3">
        <v>1</v>
      </c>
      <c r="J707" s="3" t="s">
        <v>46</v>
      </c>
      <c r="K707" s="3" t="s">
        <v>32</v>
      </c>
      <c r="L707" s="3">
        <v>59</v>
      </c>
      <c r="M707" s="3" t="str">
        <f t="shared" ref="M707:M770" si="11">IF(L707&gt;54,"Old",IF(L707&gt;=31,"Middle Age",IF(L707&lt;31,"Adolescent","Invalid")))</f>
        <v>Old</v>
      </c>
      <c r="N707" s="3" t="s">
        <v>18</v>
      </c>
    </row>
    <row r="708" spans="1:14" x14ac:dyDescent="0.35">
      <c r="A708" s="3">
        <v>20296</v>
      </c>
      <c r="B708" s="3" t="s">
        <v>37</v>
      </c>
      <c r="C708" s="3" t="s">
        <v>38</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35">
      <c r="A709" s="3">
        <v>17546</v>
      </c>
      <c r="B709" s="3" t="s">
        <v>36</v>
      </c>
      <c r="C709" s="3" t="s">
        <v>38</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35">
      <c r="A710" s="3">
        <v>18069</v>
      </c>
      <c r="B710" s="3" t="s">
        <v>36</v>
      </c>
      <c r="C710" s="3" t="s">
        <v>39</v>
      </c>
      <c r="D710" s="5">
        <v>70000</v>
      </c>
      <c r="E710" s="3">
        <v>5</v>
      </c>
      <c r="F710" s="3" t="s">
        <v>13</v>
      </c>
      <c r="G710" s="3" t="s">
        <v>28</v>
      </c>
      <c r="H710" s="3" t="s">
        <v>15</v>
      </c>
      <c r="I710" s="3">
        <v>4</v>
      </c>
      <c r="J710" s="3" t="s">
        <v>46</v>
      </c>
      <c r="K710" s="3" t="s">
        <v>32</v>
      </c>
      <c r="L710" s="3">
        <v>60</v>
      </c>
      <c r="M710" s="3" t="str">
        <f t="shared" si="11"/>
        <v>Old</v>
      </c>
      <c r="N710" s="3" t="s">
        <v>18</v>
      </c>
    </row>
    <row r="711" spans="1:14" x14ac:dyDescent="0.35">
      <c r="A711" s="3">
        <v>23712</v>
      </c>
      <c r="B711" s="3" t="s">
        <v>37</v>
      </c>
      <c r="C711" s="3" t="s">
        <v>38</v>
      </c>
      <c r="D711" s="5">
        <v>70000</v>
      </c>
      <c r="E711" s="3">
        <v>2</v>
      </c>
      <c r="F711" s="3" t="s">
        <v>13</v>
      </c>
      <c r="G711" s="3" t="s">
        <v>28</v>
      </c>
      <c r="H711" s="3" t="s">
        <v>15</v>
      </c>
      <c r="I711" s="3">
        <v>1</v>
      </c>
      <c r="J711" s="3" t="s">
        <v>46</v>
      </c>
      <c r="K711" s="3" t="s">
        <v>32</v>
      </c>
      <c r="L711" s="3">
        <v>59</v>
      </c>
      <c r="M711" s="3" t="str">
        <f t="shared" si="11"/>
        <v>Old</v>
      </c>
      <c r="N711" s="3" t="s">
        <v>18</v>
      </c>
    </row>
    <row r="712" spans="1:14" x14ac:dyDescent="0.35">
      <c r="A712" s="3">
        <v>23358</v>
      </c>
      <c r="B712" s="3" t="s">
        <v>36</v>
      </c>
      <c r="C712" s="3" t="s">
        <v>39</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35">
      <c r="A713" s="3">
        <v>20518</v>
      </c>
      <c r="B713" s="3" t="s">
        <v>36</v>
      </c>
      <c r="C713" s="3" t="s">
        <v>38</v>
      </c>
      <c r="D713" s="5">
        <v>70000</v>
      </c>
      <c r="E713" s="3">
        <v>2</v>
      </c>
      <c r="F713" s="3" t="s">
        <v>19</v>
      </c>
      <c r="G713" s="3" t="s">
        <v>21</v>
      </c>
      <c r="H713" s="3" t="s">
        <v>15</v>
      </c>
      <c r="I713" s="3">
        <v>1</v>
      </c>
      <c r="J713" s="3" t="s">
        <v>46</v>
      </c>
      <c r="K713" s="3" t="s">
        <v>32</v>
      </c>
      <c r="L713" s="3">
        <v>58</v>
      </c>
      <c r="M713" s="3" t="str">
        <f t="shared" si="11"/>
        <v>Old</v>
      </c>
      <c r="N713" s="3" t="s">
        <v>18</v>
      </c>
    </row>
    <row r="714" spans="1:14" x14ac:dyDescent="0.35">
      <c r="A714" s="3">
        <v>28026</v>
      </c>
      <c r="B714" s="3" t="s">
        <v>36</v>
      </c>
      <c r="C714" s="3" t="s">
        <v>38</v>
      </c>
      <c r="D714" s="5">
        <v>40000</v>
      </c>
      <c r="E714" s="3">
        <v>2</v>
      </c>
      <c r="F714" s="3" t="s">
        <v>27</v>
      </c>
      <c r="G714" s="3" t="s">
        <v>21</v>
      </c>
      <c r="H714" s="3" t="s">
        <v>18</v>
      </c>
      <c r="I714" s="3">
        <v>2</v>
      </c>
      <c r="J714" s="3" t="s">
        <v>22</v>
      </c>
      <c r="K714" s="3" t="s">
        <v>32</v>
      </c>
      <c r="L714" s="3">
        <v>59</v>
      </c>
      <c r="M714" s="3" t="str">
        <f t="shared" si="11"/>
        <v>Old</v>
      </c>
      <c r="N714" s="3" t="s">
        <v>18</v>
      </c>
    </row>
    <row r="715" spans="1:14" x14ac:dyDescent="0.35">
      <c r="A715" s="3">
        <v>11669</v>
      </c>
      <c r="B715" s="3" t="s">
        <v>37</v>
      </c>
      <c r="C715" s="3" t="s">
        <v>38</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35">
      <c r="A716" s="3">
        <v>16020</v>
      </c>
      <c r="B716" s="3" t="s">
        <v>36</v>
      </c>
      <c r="C716" s="3" t="s">
        <v>39</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35">
      <c r="A717" s="3">
        <v>27090</v>
      </c>
      <c r="B717" s="3" t="s">
        <v>36</v>
      </c>
      <c r="C717" s="3" t="s">
        <v>38</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35">
      <c r="A718" s="3">
        <v>27198</v>
      </c>
      <c r="B718" s="3" t="s">
        <v>37</v>
      </c>
      <c r="C718" s="3" t="s">
        <v>38</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35">
      <c r="A719" s="3">
        <v>19661</v>
      </c>
      <c r="B719" s="3" t="s">
        <v>37</v>
      </c>
      <c r="C719" s="3" t="s">
        <v>39</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35">
      <c r="A720" s="3">
        <v>26327</v>
      </c>
      <c r="B720" s="3" t="s">
        <v>36</v>
      </c>
      <c r="C720" s="3" t="s">
        <v>39</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35">
      <c r="A721" s="3">
        <v>26341</v>
      </c>
      <c r="B721" s="3" t="s">
        <v>36</v>
      </c>
      <c r="C721" s="3" t="s">
        <v>38</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35">
      <c r="A722" s="3">
        <v>24958</v>
      </c>
      <c r="B722" s="3" t="s">
        <v>37</v>
      </c>
      <c r="C722" s="3" t="s">
        <v>38</v>
      </c>
      <c r="D722" s="5">
        <v>40000</v>
      </c>
      <c r="E722" s="3">
        <v>5</v>
      </c>
      <c r="F722" s="3" t="s">
        <v>27</v>
      </c>
      <c r="G722" s="3" t="s">
        <v>21</v>
      </c>
      <c r="H722" s="3" t="s">
        <v>18</v>
      </c>
      <c r="I722" s="3">
        <v>3</v>
      </c>
      <c r="J722" s="3" t="s">
        <v>22</v>
      </c>
      <c r="K722" s="3" t="s">
        <v>32</v>
      </c>
      <c r="L722" s="3">
        <v>60</v>
      </c>
      <c r="M722" s="3" t="str">
        <f t="shared" si="11"/>
        <v>Old</v>
      </c>
      <c r="N722" s="3" t="s">
        <v>15</v>
      </c>
    </row>
    <row r="723" spans="1:14" x14ac:dyDescent="0.35">
      <c r="A723" s="3">
        <v>13287</v>
      </c>
      <c r="B723" s="3" t="s">
        <v>37</v>
      </c>
      <c r="C723" s="3" t="s">
        <v>39</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35">
      <c r="A724" s="3">
        <v>14493</v>
      </c>
      <c r="B724" s="3" t="s">
        <v>37</v>
      </c>
      <c r="C724" s="3" t="s">
        <v>38</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35">
      <c r="A725" s="3">
        <v>26678</v>
      </c>
      <c r="B725" s="3" t="s">
        <v>37</v>
      </c>
      <c r="C725" s="3" t="s">
        <v>38</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35">
      <c r="A726" s="3">
        <v>23275</v>
      </c>
      <c r="B726" s="3" t="s">
        <v>36</v>
      </c>
      <c r="C726" s="3" t="s">
        <v>39</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35">
      <c r="A727" s="3">
        <v>11270</v>
      </c>
      <c r="B727" s="3" t="s">
        <v>36</v>
      </c>
      <c r="C727" s="3" t="s">
        <v>39</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35">
      <c r="A728" s="3">
        <v>20084</v>
      </c>
      <c r="B728" s="3" t="s">
        <v>36</v>
      </c>
      <c r="C728" s="3" t="s">
        <v>39</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35">
      <c r="A729" s="3">
        <v>16144</v>
      </c>
      <c r="B729" s="3" t="s">
        <v>36</v>
      </c>
      <c r="C729" s="3" t="s">
        <v>39</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35">
      <c r="A730" s="3">
        <v>27731</v>
      </c>
      <c r="B730" s="3" t="s">
        <v>36</v>
      </c>
      <c r="C730" s="3" t="s">
        <v>39</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35">
      <c r="A731" s="3">
        <v>11886</v>
      </c>
      <c r="B731" s="3" t="s">
        <v>36</v>
      </c>
      <c r="C731" s="3" t="s">
        <v>38</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35">
      <c r="A732" s="3">
        <v>24324</v>
      </c>
      <c r="B732" s="3" t="s">
        <v>37</v>
      </c>
      <c r="C732" s="3" t="s">
        <v>38</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35">
      <c r="A733" s="3">
        <v>22220</v>
      </c>
      <c r="B733" s="3" t="s">
        <v>36</v>
      </c>
      <c r="C733" s="3" t="s">
        <v>39</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35">
      <c r="A734" s="3">
        <v>26625</v>
      </c>
      <c r="B734" s="3" t="s">
        <v>37</v>
      </c>
      <c r="C734" s="3" t="s">
        <v>38</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35">
      <c r="A735" s="3">
        <v>23027</v>
      </c>
      <c r="B735" s="3" t="s">
        <v>37</v>
      </c>
      <c r="C735" s="3" t="s">
        <v>39</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35">
      <c r="A736" s="3">
        <v>16867</v>
      </c>
      <c r="B736" s="3" t="s">
        <v>37</v>
      </c>
      <c r="C736" s="3" t="s">
        <v>38</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35">
      <c r="A737" s="3">
        <v>14514</v>
      </c>
      <c r="B737" s="3" t="s">
        <v>37</v>
      </c>
      <c r="C737" s="3" t="s">
        <v>38</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35">
      <c r="A738" s="3">
        <v>19634</v>
      </c>
      <c r="B738" s="3" t="s">
        <v>36</v>
      </c>
      <c r="C738" s="3" t="s">
        <v>39</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35">
      <c r="A739" s="3">
        <v>18504</v>
      </c>
      <c r="B739" s="3" t="s">
        <v>36</v>
      </c>
      <c r="C739" s="3" t="s">
        <v>39</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35">
      <c r="A740" s="3">
        <v>28799</v>
      </c>
      <c r="B740" s="3" t="s">
        <v>37</v>
      </c>
      <c r="C740" s="3" t="s">
        <v>38</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35">
      <c r="A741" s="3">
        <v>11225</v>
      </c>
      <c r="B741" s="3" t="s">
        <v>36</v>
      </c>
      <c r="C741" s="3" t="s">
        <v>38</v>
      </c>
      <c r="D741" s="5">
        <v>60000</v>
      </c>
      <c r="E741" s="3">
        <v>2</v>
      </c>
      <c r="F741" s="3" t="s">
        <v>19</v>
      </c>
      <c r="G741" s="3" t="s">
        <v>21</v>
      </c>
      <c r="H741" s="3" t="s">
        <v>15</v>
      </c>
      <c r="I741" s="3">
        <v>1</v>
      </c>
      <c r="J741" s="3" t="s">
        <v>46</v>
      </c>
      <c r="K741" s="3" t="s">
        <v>32</v>
      </c>
      <c r="L741" s="3">
        <v>55</v>
      </c>
      <c r="M741" s="3" t="str">
        <f t="shared" si="11"/>
        <v>Old</v>
      </c>
      <c r="N741" s="3" t="s">
        <v>18</v>
      </c>
    </row>
    <row r="742" spans="1:14" x14ac:dyDescent="0.35">
      <c r="A742" s="3">
        <v>17657</v>
      </c>
      <c r="B742" s="3" t="s">
        <v>36</v>
      </c>
      <c r="C742" s="3" t="s">
        <v>39</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35">
      <c r="A743" s="3">
        <v>14913</v>
      </c>
      <c r="B743" s="3" t="s">
        <v>36</v>
      </c>
      <c r="C743" s="3" t="s">
        <v>38</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35">
      <c r="A744" s="3">
        <v>14077</v>
      </c>
      <c r="B744" s="3" t="s">
        <v>37</v>
      </c>
      <c r="C744" s="3" t="s">
        <v>39</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35">
      <c r="A745" s="3">
        <v>13296</v>
      </c>
      <c r="B745" s="3" t="s">
        <v>36</v>
      </c>
      <c r="C745" s="3" t="s">
        <v>39</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35">
      <c r="A746" s="3">
        <v>20535</v>
      </c>
      <c r="B746" s="3" t="s">
        <v>36</v>
      </c>
      <c r="C746" s="3" t="s">
        <v>38</v>
      </c>
      <c r="D746" s="5">
        <v>70000</v>
      </c>
      <c r="E746" s="3">
        <v>4</v>
      </c>
      <c r="F746" s="3" t="s">
        <v>19</v>
      </c>
      <c r="G746" s="3" t="s">
        <v>21</v>
      </c>
      <c r="H746" s="3" t="s">
        <v>15</v>
      </c>
      <c r="I746" s="3">
        <v>1</v>
      </c>
      <c r="J746" s="3" t="s">
        <v>46</v>
      </c>
      <c r="K746" s="3" t="s">
        <v>32</v>
      </c>
      <c r="L746" s="3">
        <v>56</v>
      </c>
      <c r="M746" s="3" t="str">
        <f t="shared" si="11"/>
        <v>Old</v>
      </c>
      <c r="N746" s="3" t="s">
        <v>18</v>
      </c>
    </row>
    <row r="747" spans="1:14" x14ac:dyDescent="0.35">
      <c r="A747" s="3">
        <v>12452</v>
      </c>
      <c r="B747" s="3" t="s">
        <v>36</v>
      </c>
      <c r="C747" s="3" t="s">
        <v>39</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35">
      <c r="A748" s="3">
        <v>28043</v>
      </c>
      <c r="B748" s="3" t="s">
        <v>36</v>
      </c>
      <c r="C748" s="3" t="s">
        <v>38</v>
      </c>
      <c r="D748" s="5">
        <v>60000</v>
      </c>
      <c r="E748" s="3">
        <v>2</v>
      </c>
      <c r="F748" s="3" t="s">
        <v>13</v>
      </c>
      <c r="G748" s="3" t="s">
        <v>28</v>
      </c>
      <c r="H748" s="3" t="s">
        <v>15</v>
      </c>
      <c r="I748" s="3">
        <v>0</v>
      </c>
      <c r="J748" s="3" t="s">
        <v>46</v>
      </c>
      <c r="K748" s="3" t="s">
        <v>32</v>
      </c>
      <c r="L748" s="3">
        <v>56</v>
      </c>
      <c r="M748" s="3" t="str">
        <f t="shared" si="11"/>
        <v>Old</v>
      </c>
      <c r="N748" s="3" t="s">
        <v>18</v>
      </c>
    </row>
    <row r="749" spans="1:14" x14ac:dyDescent="0.35">
      <c r="A749" s="3">
        <v>12957</v>
      </c>
      <c r="B749" s="3" t="s">
        <v>37</v>
      </c>
      <c r="C749" s="3" t="s">
        <v>38</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35">
      <c r="A750" s="3">
        <v>15412</v>
      </c>
      <c r="B750" s="3" t="s">
        <v>36</v>
      </c>
      <c r="C750" s="3" t="s">
        <v>39</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35">
      <c r="A751" s="3">
        <v>20514</v>
      </c>
      <c r="B751" s="3" t="s">
        <v>36</v>
      </c>
      <c r="C751" s="3" t="s">
        <v>38</v>
      </c>
      <c r="D751" s="5">
        <v>70000</v>
      </c>
      <c r="E751" s="3">
        <v>2</v>
      </c>
      <c r="F751" s="3" t="s">
        <v>19</v>
      </c>
      <c r="G751" s="3" t="s">
        <v>21</v>
      </c>
      <c r="H751" s="3" t="s">
        <v>15</v>
      </c>
      <c r="I751" s="3">
        <v>1</v>
      </c>
      <c r="J751" s="3" t="s">
        <v>22</v>
      </c>
      <c r="K751" s="3" t="s">
        <v>32</v>
      </c>
      <c r="L751" s="3">
        <v>59</v>
      </c>
      <c r="M751" s="3" t="str">
        <f t="shared" si="11"/>
        <v>Old</v>
      </c>
      <c r="N751" s="3" t="s">
        <v>18</v>
      </c>
    </row>
    <row r="752" spans="1:14" x14ac:dyDescent="0.35">
      <c r="A752" s="3">
        <v>20758</v>
      </c>
      <c r="B752" s="3" t="s">
        <v>36</v>
      </c>
      <c r="C752" s="3" t="s">
        <v>39</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35">
      <c r="A753" s="3">
        <v>11801</v>
      </c>
      <c r="B753" s="3" t="s">
        <v>36</v>
      </c>
      <c r="C753" s="3" t="s">
        <v>39</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35">
      <c r="A754" s="3">
        <v>22211</v>
      </c>
      <c r="B754" s="3" t="s">
        <v>36</v>
      </c>
      <c r="C754" s="3" t="s">
        <v>39</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35">
      <c r="A755" s="3">
        <v>28087</v>
      </c>
      <c r="B755" s="3" t="s">
        <v>37</v>
      </c>
      <c r="C755" s="3" t="s">
        <v>38</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35">
      <c r="A756" s="3">
        <v>23668</v>
      </c>
      <c r="B756" s="3" t="s">
        <v>36</v>
      </c>
      <c r="C756" s="3" t="s">
        <v>38</v>
      </c>
      <c r="D756" s="5">
        <v>40000</v>
      </c>
      <c r="E756" s="3">
        <v>4</v>
      </c>
      <c r="F756" s="3" t="s">
        <v>27</v>
      </c>
      <c r="G756" s="3" t="s">
        <v>21</v>
      </c>
      <c r="H756" s="3" t="s">
        <v>15</v>
      </c>
      <c r="I756" s="3">
        <v>2</v>
      </c>
      <c r="J756" s="3" t="s">
        <v>23</v>
      </c>
      <c r="K756" s="3" t="s">
        <v>32</v>
      </c>
      <c r="L756" s="3">
        <v>59</v>
      </c>
      <c r="M756" s="3" t="str">
        <f t="shared" si="11"/>
        <v>Old</v>
      </c>
      <c r="N756" s="3" t="s">
        <v>15</v>
      </c>
    </row>
    <row r="757" spans="1:14" x14ac:dyDescent="0.35">
      <c r="A757" s="3">
        <v>27441</v>
      </c>
      <c r="B757" s="3" t="s">
        <v>36</v>
      </c>
      <c r="C757" s="3" t="s">
        <v>39</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35">
      <c r="A758" s="3">
        <v>27261</v>
      </c>
      <c r="B758" s="3" t="s">
        <v>36</v>
      </c>
      <c r="C758" s="3" t="s">
        <v>39</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35">
      <c r="A759" s="3">
        <v>18649</v>
      </c>
      <c r="B759" s="3" t="s">
        <v>37</v>
      </c>
      <c r="C759" s="3" t="s">
        <v>39</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35">
      <c r="A760" s="3">
        <v>21714</v>
      </c>
      <c r="B760" s="3" t="s">
        <v>37</v>
      </c>
      <c r="C760" s="3" t="s">
        <v>38</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35">
      <c r="A761" s="3">
        <v>23217</v>
      </c>
      <c r="B761" s="3" t="s">
        <v>37</v>
      </c>
      <c r="C761" s="3" t="s">
        <v>38</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35">
      <c r="A762" s="3">
        <v>23797</v>
      </c>
      <c r="B762" s="3" t="s">
        <v>37</v>
      </c>
      <c r="C762" s="3" t="s">
        <v>39</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35">
      <c r="A763" s="3">
        <v>13216</v>
      </c>
      <c r="B763" s="3" t="s">
        <v>36</v>
      </c>
      <c r="C763" s="3" t="s">
        <v>38</v>
      </c>
      <c r="D763" s="5">
        <v>60000</v>
      </c>
      <c r="E763" s="3">
        <v>5</v>
      </c>
      <c r="F763" s="3" t="s">
        <v>13</v>
      </c>
      <c r="G763" s="3" t="s">
        <v>28</v>
      </c>
      <c r="H763" s="3" t="s">
        <v>15</v>
      </c>
      <c r="I763" s="3">
        <v>3</v>
      </c>
      <c r="J763" s="3" t="s">
        <v>46</v>
      </c>
      <c r="K763" s="3" t="s">
        <v>32</v>
      </c>
      <c r="L763" s="3">
        <v>59</v>
      </c>
      <c r="M763" s="3" t="str">
        <f t="shared" si="11"/>
        <v>Old</v>
      </c>
      <c r="N763" s="3" t="s">
        <v>18</v>
      </c>
    </row>
    <row r="764" spans="1:14" x14ac:dyDescent="0.35">
      <c r="A764" s="3">
        <v>20657</v>
      </c>
      <c r="B764" s="3" t="s">
        <v>37</v>
      </c>
      <c r="C764" s="3" t="s">
        <v>39</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35">
      <c r="A765" s="3">
        <v>12882</v>
      </c>
      <c r="B765" s="3" t="s">
        <v>36</v>
      </c>
      <c r="C765" s="3" t="s">
        <v>39</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35">
      <c r="A766" s="3">
        <v>25908</v>
      </c>
      <c r="B766" s="3" t="s">
        <v>36</v>
      </c>
      <c r="C766" s="3" t="s">
        <v>38</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35">
      <c r="A767" s="3">
        <v>16753</v>
      </c>
      <c r="B767" s="3" t="s">
        <v>37</v>
      </c>
      <c r="C767" s="3" t="s">
        <v>38</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35">
      <c r="A768" s="3">
        <v>14608</v>
      </c>
      <c r="B768" s="3" t="s">
        <v>36</v>
      </c>
      <c r="C768" s="3" t="s">
        <v>39</v>
      </c>
      <c r="D768" s="5">
        <v>50000</v>
      </c>
      <c r="E768" s="3">
        <v>4</v>
      </c>
      <c r="F768" s="3" t="s">
        <v>13</v>
      </c>
      <c r="G768" s="3" t="s">
        <v>14</v>
      </c>
      <c r="H768" s="3" t="s">
        <v>15</v>
      </c>
      <c r="I768" s="3">
        <v>3</v>
      </c>
      <c r="J768" s="3" t="s">
        <v>46</v>
      </c>
      <c r="K768" s="3" t="s">
        <v>32</v>
      </c>
      <c r="L768" s="3">
        <v>42</v>
      </c>
      <c r="M768" s="3" t="str">
        <f t="shared" si="11"/>
        <v>Middle Age</v>
      </c>
      <c r="N768" s="3" t="s">
        <v>18</v>
      </c>
    </row>
    <row r="769" spans="1:14" x14ac:dyDescent="0.35">
      <c r="A769" s="3">
        <v>24979</v>
      </c>
      <c r="B769" s="3" t="s">
        <v>36</v>
      </c>
      <c r="C769" s="3" t="s">
        <v>38</v>
      </c>
      <c r="D769" s="5">
        <v>60000</v>
      </c>
      <c r="E769" s="3">
        <v>2</v>
      </c>
      <c r="F769" s="3" t="s">
        <v>19</v>
      </c>
      <c r="G769" s="3" t="s">
        <v>21</v>
      </c>
      <c r="H769" s="3" t="s">
        <v>15</v>
      </c>
      <c r="I769" s="3">
        <v>2</v>
      </c>
      <c r="J769" s="3" t="s">
        <v>22</v>
      </c>
      <c r="K769" s="3" t="s">
        <v>32</v>
      </c>
      <c r="L769" s="3">
        <v>57</v>
      </c>
      <c r="M769" s="3" t="str">
        <f t="shared" si="11"/>
        <v>Old</v>
      </c>
      <c r="N769" s="3" t="s">
        <v>15</v>
      </c>
    </row>
    <row r="770" spans="1:14" x14ac:dyDescent="0.35">
      <c r="A770" s="3">
        <v>13313</v>
      </c>
      <c r="B770" s="3" t="s">
        <v>36</v>
      </c>
      <c r="C770" s="3" t="s">
        <v>38</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35">
      <c r="A771" s="3">
        <v>18952</v>
      </c>
      <c r="B771" s="3" t="s">
        <v>36</v>
      </c>
      <c r="C771" s="3" t="s">
        <v>38</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35">
      <c r="A772" s="3">
        <v>17699</v>
      </c>
      <c r="B772" s="3" t="s">
        <v>36</v>
      </c>
      <c r="C772" s="3" t="s">
        <v>39</v>
      </c>
      <c r="D772" s="5">
        <v>60000</v>
      </c>
      <c r="E772" s="3">
        <v>1</v>
      </c>
      <c r="F772" s="3" t="s">
        <v>31</v>
      </c>
      <c r="G772" s="3" t="s">
        <v>14</v>
      </c>
      <c r="H772" s="3" t="s">
        <v>18</v>
      </c>
      <c r="I772" s="3">
        <v>0</v>
      </c>
      <c r="J772" s="3" t="s">
        <v>16</v>
      </c>
      <c r="K772" s="3" t="s">
        <v>32</v>
      </c>
      <c r="L772" s="3">
        <v>55</v>
      </c>
      <c r="M772" s="3" t="str">
        <f t="shared" si="12"/>
        <v>Old</v>
      </c>
      <c r="N772" s="3" t="s">
        <v>18</v>
      </c>
    </row>
    <row r="773" spans="1:14" x14ac:dyDescent="0.35">
      <c r="A773" s="3">
        <v>14657</v>
      </c>
      <c r="B773" s="3" t="s">
        <v>36</v>
      </c>
      <c r="C773" s="3" t="s">
        <v>39</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35">
      <c r="A774" s="3">
        <v>11540</v>
      </c>
      <c r="B774" s="3" t="s">
        <v>37</v>
      </c>
      <c r="C774" s="3" t="s">
        <v>39</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35">
      <c r="A775" s="3">
        <v>11783</v>
      </c>
      <c r="B775" s="3" t="s">
        <v>36</v>
      </c>
      <c r="C775" s="3" t="s">
        <v>38</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35">
      <c r="A776" s="3">
        <v>14602</v>
      </c>
      <c r="B776" s="3" t="s">
        <v>36</v>
      </c>
      <c r="C776" s="3" t="s">
        <v>38</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35">
      <c r="A777" s="3">
        <v>29030</v>
      </c>
      <c r="B777" s="3" t="s">
        <v>36</v>
      </c>
      <c r="C777" s="3" t="s">
        <v>39</v>
      </c>
      <c r="D777" s="5">
        <v>70000</v>
      </c>
      <c r="E777" s="3">
        <v>2</v>
      </c>
      <c r="F777" s="3" t="s">
        <v>29</v>
      </c>
      <c r="G777" s="3" t="s">
        <v>14</v>
      </c>
      <c r="H777" s="3" t="s">
        <v>15</v>
      </c>
      <c r="I777" s="3">
        <v>2</v>
      </c>
      <c r="J777" s="3" t="s">
        <v>46</v>
      </c>
      <c r="K777" s="3" t="s">
        <v>32</v>
      </c>
      <c r="L777" s="3">
        <v>54</v>
      </c>
      <c r="M777" s="3" t="str">
        <f t="shared" si="12"/>
        <v>Middle Age</v>
      </c>
      <c r="N777" s="3" t="s">
        <v>18</v>
      </c>
    </row>
    <row r="778" spans="1:14" x14ac:dyDescent="0.35">
      <c r="A778" s="3">
        <v>26490</v>
      </c>
      <c r="B778" s="3" t="s">
        <v>37</v>
      </c>
      <c r="C778" s="3" t="s">
        <v>39</v>
      </c>
      <c r="D778" s="5">
        <v>70000</v>
      </c>
      <c r="E778" s="3">
        <v>2</v>
      </c>
      <c r="F778" s="3" t="s">
        <v>13</v>
      </c>
      <c r="G778" s="3" t="s">
        <v>28</v>
      </c>
      <c r="H778" s="3" t="s">
        <v>18</v>
      </c>
      <c r="I778" s="3">
        <v>1</v>
      </c>
      <c r="J778" s="3" t="s">
        <v>22</v>
      </c>
      <c r="K778" s="3" t="s">
        <v>32</v>
      </c>
      <c r="L778" s="3">
        <v>59</v>
      </c>
      <c r="M778" s="3" t="str">
        <f t="shared" si="12"/>
        <v>Old</v>
      </c>
      <c r="N778" s="3" t="s">
        <v>15</v>
      </c>
    </row>
    <row r="779" spans="1:14" x14ac:dyDescent="0.35">
      <c r="A779" s="3">
        <v>13151</v>
      </c>
      <c r="B779" s="3" t="s">
        <v>37</v>
      </c>
      <c r="C779" s="3" t="s">
        <v>39</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35">
      <c r="A780" s="3">
        <v>17260</v>
      </c>
      <c r="B780" s="3" t="s">
        <v>36</v>
      </c>
      <c r="C780" s="3" t="s">
        <v>39</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35">
      <c r="A781" s="3">
        <v>15372</v>
      </c>
      <c r="B781" s="3" t="s">
        <v>36</v>
      </c>
      <c r="C781" s="3" t="s">
        <v>39</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35">
      <c r="A782" s="3">
        <v>18105</v>
      </c>
      <c r="B782" s="3" t="s">
        <v>36</v>
      </c>
      <c r="C782" s="3" t="s">
        <v>38</v>
      </c>
      <c r="D782" s="5">
        <v>60000</v>
      </c>
      <c r="E782" s="3">
        <v>2</v>
      </c>
      <c r="F782" s="3" t="s">
        <v>19</v>
      </c>
      <c r="G782" s="3" t="s">
        <v>21</v>
      </c>
      <c r="H782" s="3" t="s">
        <v>15</v>
      </c>
      <c r="I782" s="3">
        <v>1</v>
      </c>
      <c r="J782" s="3" t="s">
        <v>46</v>
      </c>
      <c r="K782" s="3" t="s">
        <v>32</v>
      </c>
      <c r="L782" s="3">
        <v>55</v>
      </c>
      <c r="M782" s="3" t="str">
        <f t="shared" si="12"/>
        <v>Old</v>
      </c>
      <c r="N782" s="3" t="s">
        <v>18</v>
      </c>
    </row>
    <row r="783" spans="1:14" x14ac:dyDescent="0.35">
      <c r="A783" s="3">
        <v>19660</v>
      </c>
      <c r="B783" s="3" t="s">
        <v>36</v>
      </c>
      <c r="C783" s="3" t="s">
        <v>39</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35">
      <c r="A784" s="3">
        <v>16112</v>
      </c>
      <c r="B784" s="3" t="s">
        <v>37</v>
      </c>
      <c r="C784" s="3" t="s">
        <v>39</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35">
      <c r="A785" s="3">
        <v>20698</v>
      </c>
      <c r="B785" s="3" t="s">
        <v>36</v>
      </c>
      <c r="C785" s="3" t="s">
        <v>39</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35">
      <c r="A786" s="3">
        <v>20076</v>
      </c>
      <c r="B786" s="3" t="s">
        <v>37</v>
      </c>
      <c r="C786" s="3" t="s">
        <v>38</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35">
      <c r="A787" s="3">
        <v>24496</v>
      </c>
      <c r="B787" s="3" t="s">
        <v>37</v>
      </c>
      <c r="C787" s="3" t="s">
        <v>38</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35">
      <c r="A788" s="3">
        <v>15468</v>
      </c>
      <c r="B788" s="3" t="s">
        <v>36</v>
      </c>
      <c r="C788" s="3" t="s">
        <v>38</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35">
      <c r="A789" s="3">
        <v>28031</v>
      </c>
      <c r="B789" s="3" t="s">
        <v>37</v>
      </c>
      <c r="C789" s="3" t="s">
        <v>38</v>
      </c>
      <c r="D789" s="5">
        <v>70000</v>
      </c>
      <c r="E789" s="3">
        <v>2</v>
      </c>
      <c r="F789" s="3" t="s">
        <v>13</v>
      </c>
      <c r="G789" s="3" t="s">
        <v>28</v>
      </c>
      <c r="H789" s="3" t="s">
        <v>18</v>
      </c>
      <c r="I789" s="3">
        <v>1</v>
      </c>
      <c r="J789" s="3" t="s">
        <v>22</v>
      </c>
      <c r="K789" s="3" t="s">
        <v>32</v>
      </c>
      <c r="L789" s="3">
        <v>59</v>
      </c>
      <c r="M789" s="3" t="str">
        <f t="shared" si="12"/>
        <v>Old</v>
      </c>
      <c r="N789" s="3" t="s">
        <v>15</v>
      </c>
    </row>
    <row r="790" spans="1:14" x14ac:dyDescent="0.35">
      <c r="A790" s="3">
        <v>26270</v>
      </c>
      <c r="B790" s="3" t="s">
        <v>37</v>
      </c>
      <c r="C790" s="3" t="s">
        <v>38</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35">
      <c r="A791" s="3">
        <v>22221</v>
      </c>
      <c r="B791" s="3" t="s">
        <v>36</v>
      </c>
      <c r="C791" s="3" t="s">
        <v>39</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35">
      <c r="A792" s="3">
        <v>28228</v>
      </c>
      <c r="B792" s="3" t="s">
        <v>37</v>
      </c>
      <c r="C792" s="3" t="s">
        <v>38</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35">
      <c r="A793" s="3">
        <v>18363</v>
      </c>
      <c r="B793" s="3" t="s">
        <v>36</v>
      </c>
      <c r="C793" s="3" t="s">
        <v>39</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35">
      <c r="A794" s="3">
        <v>23256</v>
      </c>
      <c r="B794" s="3" t="s">
        <v>37</v>
      </c>
      <c r="C794" s="3" t="s">
        <v>39</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35">
      <c r="A795" s="3">
        <v>12768</v>
      </c>
      <c r="B795" s="3" t="s">
        <v>36</v>
      </c>
      <c r="C795" s="3" t="s">
        <v>39</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35">
      <c r="A796" s="3">
        <v>20361</v>
      </c>
      <c r="B796" s="3" t="s">
        <v>36</v>
      </c>
      <c r="C796" s="3" t="s">
        <v>39</v>
      </c>
      <c r="D796" s="5">
        <v>50000</v>
      </c>
      <c r="E796" s="3">
        <v>2</v>
      </c>
      <c r="F796" s="3" t="s">
        <v>31</v>
      </c>
      <c r="G796" s="3" t="s">
        <v>28</v>
      </c>
      <c r="H796" s="3" t="s">
        <v>15</v>
      </c>
      <c r="I796" s="3">
        <v>2</v>
      </c>
      <c r="J796" s="3" t="s">
        <v>23</v>
      </c>
      <c r="K796" s="3" t="s">
        <v>32</v>
      </c>
      <c r="L796" s="3">
        <v>69</v>
      </c>
      <c r="M796" s="3" t="str">
        <f t="shared" si="12"/>
        <v>Old</v>
      </c>
      <c r="N796" s="3" t="s">
        <v>18</v>
      </c>
    </row>
    <row r="797" spans="1:14" x14ac:dyDescent="0.35">
      <c r="A797" s="3">
        <v>21306</v>
      </c>
      <c r="B797" s="3" t="s">
        <v>37</v>
      </c>
      <c r="C797" s="3" t="s">
        <v>39</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35">
      <c r="A798" s="3">
        <v>13382</v>
      </c>
      <c r="B798" s="3" t="s">
        <v>36</v>
      </c>
      <c r="C798" s="3" t="s">
        <v>39</v>
      </c>
      <c r="D798" s="5">
        <v>70000</v>
      </c>
      <c r="E798" s="3">
        <v>5</v>
      </c>
      <c r="F798" s="3" t="s">
        <v>19</v>
      </c>
      <c r="G798" s="3" t="s">
        <v>21</v>
      </c>
      <c r="H798" s="3" t="s">
        <v>15</v>
      </c>
      <c r="I798" s="3">
        <v>2</v>
      </c>
      <c r="J798" s="3" t="s">
        <v>26</v>
      </c>
      <c r="K798" s="3" t="s">
        <v>32</v>
      </c>
      <c r="L798" s="3">
        <v>57</v>
      </c>
      <c r="M798" s="3" t="str">
        <f t="shared" si="12"/>
        <v>Old</v>
      </c>
      <c r="N798" s="3" t="s">
        <v>15</v>
      </c>
    </row>
    <row r="799" spans="1:14" x14ac:dyDescent="0.35">
      <c r="A799" s="3">
        <v>20310</v>
      </c>
      <c r="B799" s="3" t="s">
        <v>37</v>
      </c>
      <c r="C799" s="3" t="s">
        <v>39</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35">
      <c r="A800" s="3">
        <v>22971</v>
      </c>
      <c r="B800" s="3" t="s">
        <v>37</v>
      </c>
      <c r="C800" s="3" t="s">
        <v>38</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35">
      <c r="A801" s="3">
        <v>15287</v>
      </c>
      <c r="B801" s="3" t="s">
        <v>37</v>
      </c>
      <c r="C801" s="3" t="s">
        <v>38</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35">
      <c r="A802" s="3">
        <v>15532</v>
      </c>
      <c r="B802" s="3" t="s">
        <v>37</v>
      </c>
      <c r="C802" s="3" t="s">
        <v>39</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35">
      <c r="A803" s="3">
        <v>11255</v>
      </c>
      <c r="B803" s="3" t="s">
        <v>36</v>
      </c>
      <c r="C803" s="3" t="s">
        <v>39</v>
      </c>
      <c r="D803" s="5">
        <v>70000</v>
      </c>
      <c r="E803" s="3">
        <v>4</v>
      </c>
      <c r="F803" s="3" t="s">
        <v>31</v>
      </c>
      <c r="G803" s="3" t="s">
        <v>28</v>
      </c>
      <c r="H803" s="3" t="s">
        <v>15</v>
      </c>
      <c r="I803" s="3">
        <v>2</v>
      </c>
      <c r="J803" s="3" t="s">
        <v>23</v>
      </c>
      <c r="K803" s="3" t="s">
        <v>32</v>
      </c>
      <c r="L803" s="3">
        <v>73</v>
      </c>
      <c r="M803" s="3" t="str">
        <f t="shared" si="12"/>
        <v>Old</v>
      </c>
      <c r="N803" s="3" t="s">
        <v>18</v>
      </c>
    </row>
    <row r="804" spans="1:14" x14ac:dyDescent="0.35">
      <c r="A804" s="3">
        <v>28090</v>
      </c>
      <c r="B804" s="3" t="s">
        <v>36</v>
      </c>
      <c r="C804" s="3" t="s">
        <v>39</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35">
      <c r="A805" s="3">
        <v>15255</v>
      </c>
      <c r="B805" s="3" t="s">
        <v>36</v>
      </c>
      <c r="C805" s="3" t="s">
        <v>39</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35">
      <c r="A806" s="3">
        <v>13154</v>
      </c>
      <c r="B806" s="3" t="s">
        <v>36</v>
      </c>
      <c r="C806" s="3" t="s">
        <v>39</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35">
      <c r="A807" s="3">
        <v>26778</v>
      </c>
      <c r="B807" s="3" t="s">
        <v>37</v>
      </c>
      <c r="C807" s="3" t="s">
        <v>38</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35">
      <c r="A808" s="3">
        <v>23248</v>
      </c>
      <c r="B808" s="3" t="s">
        <v>36</v>
      </c>
      <c r="C808" s="3" t="s">
        <v>38</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35">
      <c r="A809" s="3">
        <v>21417</v>
      </c>
      <c r="B809" s="3" t="s">
        <v>37</v>
      </c>
      <c r="C809" s="3" t="s">
        <v>38</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35">
      <c r="A810" s="3">
        <v>17668</v>
      </c>
      <c r="B810" s="3" t="s">
        <v>37</v>
      </c>
      <c r="C810" s="3" t="s">
        <v>39</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35">
      <c r="A811" s="3">
        <v>27994</v>
      </c>
      <c r="B811" s="3" t="s">
        <v>36</v>
      </c>
      <c r="C811" s="3" t="s">
        <v>38</v>
      </c>
      <c r="D811" s="5">
        <v>40000</v>
      </c>
      <c r="E811" s="3">
        <v>4</v>
      </c>
      <c r="F811" s="3" t="s">
        <v>27</v>
      </c>
      <c r="G811" s="3" t="s">
        <v>21</v>
      </c>
      <c r="H811" s="3" t="s">
        <v>15</v>
      </c>
      <c r="I811" s="3">
        <v>2</v>
      </c>
      <c r="J811" s="3" t="s">
        <v>23</v>
      </c>
      <c r="K811" s="3" t="s">
        <v>32</v>
      </c>
      <c r="L811" s="3">
        <v>69</v>
      </c>
      <c r="M811" s="3" t="str">
        <f t="shared" si="12"/>
        <v>Old</v>
      </c>
      <c r="N811" s="3" t="s">
        <v>18</v>
      </c>
    </row>
    <row r="812" spans="1:14" x14ac:dyDescent="0.35">
      <c r="A812" s="3">
        <v>20376</v>
      </c>
      <c r="B812" s="3" t="s">
        <v>37</v>
      </c>
      <c r="C812" s="3" t="s">
        <v>38</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35">
      <c r="A813" s="3">
        <v>25954</v>
      </c>
      <c r="B813" s="3" t="s">
        <v>36</v>
      </c>
      <c r="C813" s="3" t="s">
        <v>39</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35">
      <c r="A814" s="3">
        <v>15749</v>
      </c>
      <c r="B814" s="3" t="s">
        <v>37</v>
      </c>
      <c r="C814" s="3" t="s">
        <v>38</v>
      </c>
      <c r="D814" s="5">
        <v>70000</v>
      </c>
      <c r="E814" s="3">
        <v>4</v>
      </c>
      <c r="F814" s="3" t="s">
        <v>13</v>
      </c>
      <c r="G814" s="3" t="s">
        <v>28</v>
      </c>
      <c r="H814" s="3" t="s">
        <v>15</v>
      </c>
      <c r="I814" s="3">
        <v>2</v>
      </c>
      <c r="J814" s="3" t="s">
        <v>46</v>
      </c>
      <c r="K814" s="3" t="s">
        <v>32</v>
      </c>
      <c r="L814" s="3">
        <v>61</v>
      </c>
      <c r="M814" s="3" t="str">
        <f t="shared" si="12"/>
        <v>Old</v>
      </c>
      <c r="N814" s="3" t="s">
        <v>18</v>
      </c>
    </row>
    <row r="815" spans="1:14" x14ac:dyDescent="0.35">
      <c r="A815" s="3">
        <v>25899</v>
      </c>
      <c r="B815" s="3" t="s">
        <v>36</v>
      </c>
      <c r="C815" s="3" t="s">
        <v>38</v>
      </c>
      <c r="D815" s="5">
        <v>70000</v>
      </c>
      <c r="E815" s="3">
        <v>2</v>
      </c>
      <c r="F815" s="3" t="s">
        <v>27</v>
      </c>
      <c r="G815" s="3" t="s">
        <v>21</v>
      </c>
      <c r="H815" s="3" t="s">
        <v>15</v>
      </c>
      <c r="I815" s="3">
        <v>2</v>
      </c>
      <c r="J815" s="3" t="s">
        <v>46</v>
      </c>
      <c r="K815" s="3" t="s">
        <v>32</v>
      </c>
      <c r="L815" s="3">
        <v>53</v>
      </c>
      <c r="M815" s="3" t="str">
        <f t="shared" si="12"/>
        <v>Middle Age</v>
      </c>
      <c r="N815" s="3" t="s">
        <v>18</v>
      </c>
    </row>
    <row r="816" spans="1:14" x14ac:dyDescent="0.35">
      <c r="A816" s="3">
        <v>13351</v>
      </c>
      <c r="B816" s="3" t="s">
        <v>37</v>
      </c>
      <c r="C816" s="3" t="s">
        <v>38</v>
      </c>
      <c r="D816" s="5">
        <v>70000</v>
      </c>
      <c r="E816" s="3">
        <v>4</v>
      </c>
      <c r="F816" s="3" t="s">
        <v>13</v>
      </c>
      <c r="G816" s="3" t="s">
        <v>28</v>
      </c>
      <c r="H816" s="3" t="s">
        <v>15</v>
      </c>
      <c r="I816" s="3">
        <v>2</v>
      </c>
      <c r="J816" s="3" t="s">
        <v>26</v>
      </c>
      <c r="K816" s="3" t="s">
        <v>32</v>
      </c>
      <c r="L816" s="3">
        <v>62</v>
      </c>
      <c r="M816" s="3" t="str">
        <f t="shared" si="12"/>
        <v>Old</v>
      </c>
      <c r="N816" s="3" t="s">
        <v>15</v>
      </c>
    </row>
    <row r="817" spans="1:14" x14ac:dyDescent="0.35">
      <c r="A817" s="3">
        <v>23333</v>
      </c>
      <c r="B817" s="3" t="s">
        <v>36</v>
      </c>
      <c r="C817" s="3" t="s">
        <v>39</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35">
      <c r="A818" s="3">
        <v>21660</v>
      </c>
      <c r="B818" s="3" t="s">
        <v>36</v>
      </c>
      <c r="C818" s="3" t="s">
        <v>38</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35">
      <c r="A819" s="3">
        <v>17012</v>
      </c>
      <c r="B819" s="3" t="s">
        <v>36</v>
      </c>
      <c r="C819" s="3" t="s">
        <v>38</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35">
      <c r="A820" s="3">
        <v>24514</v>
      </c>
      <c r="B820" s="3" t="s">
        <v>36</v>
      </c>
      <c r="C820" s="3" t="s">
        <v>39</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35">
      <c r="A821" s="3">
        <v>27505</v>
      </c>
      <c r="B821" s="3" t="s">
        <v>37</v>
      </c>
      <c r="C821" s="3" t="s">
        <v>38</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35">
      <c r="A822" s="3">
        <v>29243</v>
      </c>
      <c r="B822" s="3" t="s">
        <v>37</v>
      </c>
      <c r="C822" s="3" t="s">
        <v>39</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35">
      <c r="A823" s="3">
        <v>26582</v>
      </c>
      <c r="B823" s="3" t="s">
        <v>36</v>
      </c>
      <c r="C823" s="3" t="s">
        <v>39</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35">
      <c r="A824" s="3">
        <v>14271</v>
      </c>
      <c r="B824" s="3" t="s">
        <v>36</v>
      </c>
      <c r="C824" s="3" t="s">
        <v>39</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35">
      <c r="A825" s="3">
        <v>23041</v>
      </c>
      <c r="B825" s="3" t="s">
        <v>37</v>
      </c>
      <c r="C825" s="3" t="s">
        <v>38</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35">
      <c r="A826" s="3">
        <v>29048</v>
      </c>
      <c r="B826" s="3" t="s">
        <v>37</v>
      </c>
      <c r="C826" s="3" t="s">
        <v>39</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35">
      <c r="A827" s="3">
        <v>24433</v>
      </c>
      <c r="B827" s="3" t="s">
        <v>36</v>
      </c>
      <c r="C827" s="3" t="s">
        <v>39</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35">
      <c r="A828" s="3">
        <v>15501</v>
      </c>
      <c r="B828" s="3" t="s">
        <v>36</v>
      </c>
      <c r="C828" s="3" t="s">
        <v>39</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35">
      <c r="A829" s="3">
        <v>13911</v>
      </c>
      <c r="B829" s="3" t="s">
        <v>37</v>
      </c>
      <c r="C829" s="3" t="s">
        <v>38</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35">
      <c r="A830" s="3">
        <v>20421</v>
      </c>
      <c r="B830" s="3" t="s">
        <v>37</v>
      </c>
      <c r="C830" s="3" t="s">
        <v>38</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35">
      <c r="A831" s="3">
        <v>16009</v>
      </c>
      <c r="B831" s="3" t="s">
        <v>37</v>
      </c>
      <c r="C831" s="3" t="s">
        <v>39</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35">
      <c r="A832" s="3">
        <v>18411</v>
      </c>
      <c r="B832" s="3" t="s">
        <v>36</v>
      </c>
      <c r="C832" s="3" t="s">
        <v>39</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35">
      <c r="A833" s="3">
        <v>19163</v>
      </c>
      <c r="B833" s="3" t="s">
        <v>36</v>
      </c>
      <c r="C833" s="3" t="s">
        <v>38</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35">
      <c r="A834" s="3">
        <v>18572</v>
      </c>
      <c r="B834" s="3" t="s">
        <v>36</v>
      </c>
      <c r="C834" s="3" t="s">
        <v>38</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35">
      <c r="A835" s="3">
        <v>27540</v>
      </c>
      <c r="B835" s="3" t="s">
        <v>37</v>
      </c>
      <c r="C835" s="3" t="s">
        <v>38</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35">
      <c r="A836" s="3">
        <v>19889</v>
      </c>
      <c r="B836" s="3" t="s">
        <v>37</v>
      </c>
      <c r="C836" s="3" t="s">
        <v>38</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35">
      <c r="A837" s="3">
        <v>12922</v>
      </c>
      <c r="B837" s="3" t="s">
        <v>37</v>
      </c>
      <c r="C837" s="3" t="s">
        <v>38</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35">
      <c r="A838" s="3">
        <v>18891</v>
      </c>
      <c r="B838" s="3" t="s">
        <v>36</v>
      </c>
      <c r="C838" s="3" t="s">
        <v>38</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35">
      <c r="A839" s="3">
        <v>16773</v>
      </c>
      <c r="B839" s="3" t="s">
        <v>36</v>
      </c>
      <c r="C839" s="3" t="s">
        <v>39</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35">
      <c r="A840" s="3">
        <v>19143</v>
      </c>
      <c r="B840" s="3" t="s">
        <v>37</v>
      </c>
      <c r="C840" s="3" t="s">
        <v>38</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35">
      <c r="A841" s="3">
        <v>23882</v>
      </c>
      <c r="B841" s="3" t="s">
        <v>37</v>
      </c>
      <c r="C841" s="3" t="s">
        <v>38</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35">
      <c r="A842" s="3">
        <v>11233</v>
      </c>
      <c r="B842" s="3" t="s">
        <v>36</v>
      </c>
      <c r="C842" s="3" t="s">
        <v>39</v>
      </c>
      <c r="D842" s="5">
        <v>70000</v>
      </c>
      <c r="E842" s="3">
        <v>4</v>
      </c>
      <c r="F842" s="3" t="s">
        <v>19</v>
      </c>
      <c r="G842" s="3" t="s">
        <v>21</v>
      </c>
      <c r="H842" s="3" t="s">
        <v>15</v>
      </c>
      <c r="I842" s="3">
        <v>2</v>
      </c>
      <c r="J842" s="3" t="s">
        <v>46</v>
      </c>
      <c r="K842" s="3" t="s">
        <v>32</v>
      </c>
      <c r="L842" s="3">
        <v>53</v>
      </c>
      <c r="M842" s="3" t="str">
        <f t="shared" si="13"/>
        <v>Middle Age</v>
      </c>
      <c r="N842" s="3" t="s">
        <v>18</v>
      </c>
    </row>
    <row r="843" spans="1:14" x14ac:dyDescent="0.35">
      <c r="A843" s="3">
        <v>12056</v>
      </c>
      <c r="B843" s="3" t="s">
        <v>36</v>
      </c>
      <c r="C843" s="3" t="s">
        <v>39</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35">
      <c r="A844" s="3">
        <v>15555</v>
      </c>
      <c r="B844" s="3" t="s">
        <v>36</v>
      </c>
      <c r="C844" s="3" t="s">
        <v>38</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35">
      <c r="A845" s="3">
        <v>18423</v>
      </c>
      <c r="B845" s="3" t="s">
        <v>37</v>
      </c>
      <c r="C845" s="3" t="s">
        <v>39</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35">
      <c r="A846" s="3">
        <v>22743</v>
      </c>
      <c r="B846" s="3" t="s">
        <v>36</v>
      </c>
      <c r="C846" s="3" t="s">
        <v>38</v>
      </c>
      <c r="D846" s="5">
        <v>40000</v>
      </c>
      <c r="E846" s="3">
        <v>5</v>
      </c>
      <c r="F846" s="3" t="s">
        <v>27</v>
      </c>
      <c r="G846" s="3" t="s">
        <v>21</v>
      </c>
      <c r="H846" s="3" t="s">
        <v>15</v>
      </c>
      <c r="I846" s="3">
        <v>2</v>
      </c>
      <c r="J846" s="3" t="s">
        <v>46</v>
      </c>
      <c r="K846" s="3" t="s">
        <v>32</v>
      </c>
      <c r="L846" s="3">
        <v>60</v>
      </c>
      <c r="M846" s="3" t="str">
        <f t="shared" si="13"/>
        <v>Old</v>
      </c>
      <c r="N846" s="3" t="s">
        <v>18</v>
      </c>
    </row>
    <row r="847" spans="1:14" x14ac:dyDescent="0.35">
      <c r="A847" s="3">
        <v>25343</v>
      </c>
      <c r="B847" s="3" t="s">
        <v>37</v>
      </c>
      <c r="C847" s="3" t="s">
        <v>38</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35">
      <c r="A848" s="3">
        <v>13390</v>
      </c>
      <c r="B848" s="3" t="s">
        <v>36</v>
      </c>
      <c r="C848" s="3" t="s">
        <v>38</v>
      </c>
      <c r="D848" s="5">
        <v>70000</v>
      </c>
      <c r="E848" s="3">
        <v>4</v>
      </c>
      <c r="F848" s="3" t="s">
        <v>19</v>
      </c>
      <c r="G848" s="3" t="s">
        <v>21</v>
      </c>
      <c r="H848" s="3" t="s">
        <v>18</v>
      </c>
      <c r="I848" s="3">
        <v>1</v>
      </c>
      <c r="J848" s="3" t="s">
        <v>26</v>
      </c>
      <c r="K848" s="3" t="s">
        <v>32</v>
      </c>
      <c r="L848" s="3">
        <v>56</v>
      </c>
      <c r="M848" s="3" t="str">
        <f t="shared" si="13"/>
        <v>Old</v>
      </c>
      <c r="N848" s="3" t="s">
        <v>18</v>
      </c>
    </row>
    <row r="849" spans="1:14" x14ac:dyDescent="0.35">
      <c r="A849" s="3">
        <v>17482</v>
      </c>
      <c r="B849" s="3" t="s">
        <v>37</v>
      </c>
      <c r="C849" s="3" t="s">
        <v>38</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35">
      <c r="A850" s="3">
        <v>13176</v>
      </c>
      <c r="B850" s="3" t="s">
        <v>37</v>
      </c>
      <c r="C850" s="3" t="s">
        <v>39</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35">
      <c r="A851" s="3">
        <v>20504</v>
      </c>
      <c r="B851" s="3" t="s">
        <v>36</v>
      </c>
      <c r="C851" s="3" t="s">
        <v>38</v>
      </c>
      <c r="D851" s="5">
        <v>40000</v>
      </c>
      <c r="E851" s="3">
        <v>5</v>
      </c>
      <c r="F851" s="3" t="s">
        <v>27</v>
      </c>
      <c r="G851" s="3" t="s">
        <v>21</v>
      </c>
      <c r="H851" s="3" t="s">
        <v>18</v>
      </c>
      <c r="I851" s="3">
        <v>2</v>
      </c>
      <c r="J851" s="3" t="s">
        <v>22</v>
      </c>
      <c r="K851" s="3" t="s">
        <v>32</v>
      </c>
      <c r="L851" s="3">
        <v>60</v>
      </c>
      <c r="M851" s="3" t="str">
        <f t="shared" si="13"/>
        <v>Old</v>
      </c>
      <c r="N851" s="3" t="s">
        <v>18</v>
      </c>
    </row>
    <row r="852" spans="1:14" x14ac:dyDescent="0.35">
      <c r="A852" s="3">
        <v>12205</v>
      </c>
      <c r="B852" s="3" t="s">
        <v>37</v>
      </c>
      <c r="C852" s="3" t="s">
        <v>38</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35">
      <c r="A853" s="3">
        <v>16751</v>
      </c>
      <c r="B853" s="3" t="s">
        <v>36</v>
      </c>
      <c r="C853" s="3" t="s">
        <v>39</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35">
      <c r="A854" s="3">
        <v>21613</v>
      </c>
      <c r="B854" s="3" t="s">
        <v>37</v>
      </c>
      <c r="C854" s="3" t="s">
        <v>39</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35">
      <c r="A855" s="3">
        <v>24801</v>
      </c>
      <c r="B855" s="3" t="s">
        <v>37</v>
      </c>
      <c r="C855" s="3" t="s">
        <v>39</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35">
      <c r="A856" s="3">
        <v>17519</v>
      </c>
      <c r="B856" s="3" t="s">
        <v>36</v>
      </c>
      <c r="C856" s="3" t="s">
        <v>38</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35">
      <c r="A857" s="3">
        <v>18347</v>
      </c>
      <c r="B857" s="3" t="s">
        <v>37</v>
      </c>
      <c r="C857" s="3" t="s">
        <v>38</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35">
      <c r="A858" s="3">
        <v>29052</v>
      </c>
      <c r="B858" s="3" t="s">
        <v>37</v>
      </c>
      <c r="C858" s="3" t="s">
        <v>39</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35">
      <c r="A859" s="3">
        <v>11745</v>
      </c>
      <c r="B859" s="3" t="s">
        <v>36</v>
      </c>
      <c r="C859" s="3" t="s">
        <v>38</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35">
      <c r="A860" s="3">
        <v>19147</v>
      </c>
      <c r="B860" s="3" t="s">
        <v>36</v>
      </c>
      <c r="C860" s="3" t="s">
        <v>39</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35">
      <c r="A861" s="3">
        <v>19217</v>
      </c>
      <c r="B861" s="3" t="s">
        <v>36</v>
      </c>
      <c r="C861" s="3" t="s">
        <v>39</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35">
      <c r="A862" s="3">
        <v>15839</v>
      </c>
      <c r="B862" s="3" t="s">
        <v>37</v>
      </c>
      <c r="C862" s="3" t="s">
        <v>39</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35">
      <c r="A863" s="3">
        <v>13714</v>
      </c>
      <c r="B863" s="3" t="s">
        <v>36</v>
      </c>
      <c r="C863" s="3" t="s">
        <v>38</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35">
      <c r="A864" s="3">
        <v>22330</v>
      </c>
      <c r="B864" s="3" t="s">
        <v>36</v>
      </c>
      <c r="C864" s="3" t="s">
        <v>39</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35">
      <c r="A865" s="3">
        <v>18783</v>
      </c>
      <c r="B865" s="3" t="s">
        <v>37</v>
      </c>
      <c r="C865" s="3" t="s">
        <v>39</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35">
      <c r="A866" s="3">
        <v>25041</v>
      </c>
      <c r="B866" s="3" t="s">
        <v>37</v>
      </c>
      <c r="C866" s="3" t="s">
        <v>39</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35">
      <c r="A867" s="3">
        <v>22046</v>
      </c>
      <c r="B867" s="3" t="s">
        <v>37</v>
      </c>
      <c r="C867" s="3" t="s">
        <v>38</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35">
      <c r="A868" s="3">
        <v>28052</v>
      </c>
      <c r="B868" s="3" t="s">
        <v>36</v>
      </c>
      <c r="C868" s="3" t="s">
        <v>39</v>
      </c>
      <c r="D868" s="5">
        <v>60000</v>
      </c>
      <c r="E868" s="3">
        <v>2</v>
      </c>
      <c r="F868" s="3" t="s">
        <v>27</v>
      </c>
      <c r="G868" s="3" t="s">
        <v>21</v>
      </c>
      <c r="H868" s="3" t="s">
        <v>15</v>
      </c>
      <c r="I868" s="3">
        <v>2</v>
      </c>
      <c r="J868" s="3" t="s">
        <v>46</v>
      </c>
      <c r="K868" s="3" t="s">
        <v>32</v>
      </c>
      <c r="L868" s="3">
        <v>55</v>
      </c>
      <c r="M868" s="3" t="str">
        <f t="shared" si="13"/>
        <v>Old</v>
      </c>
      <c r="N868" s="3" t="s">
        <v>18</v>
      </c>
    </row>
    <row r="869" spans="1:14" x14ac:dyDescent="0.35">
      <c r="A869" s="3">
        <v>26693</v>
      </c>
      <c r="B869" s="3" t="s">
        <v>36</v>
      </c>
      <c r="C869" s="3" t="s">
        <v>39</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35">
      <c r="A870" s="3">
        <v>24955</v>
      </c>
      <c r="B870" s="3" t="s">
        <v>37</v>
      </c>
      <c r="C870" s="3" t="s">
        <v>39</v>
      </c>
      <c r="D870" s="5">
        <v>30000</v>
      </c>
      <c r="E870" s="3">
        <v>5</v>
      </c>
      <c r="F870" s="3" t="s">
        <v>29</v>
      </c>
      <c r="G870" s="3" t="s">
        <v>14</v>
      </c>
      <c r="H870" s="3" t="s">
        <v>15</v>
      </c>
      <c r="I870" s="3">
        <v>3</v>
      </c>
      <c r="J870" s="3" t="s">
        <v>46</v>
      </c>
      <c r="K870" s="3" t="s">
        <v>32</v>
      </c>
      <c r="L870" s="3">
        <v>60</v>
      </c>
      <c r="M870" s="3" t="str">
        <f t="shared" si="13"/>
        <v>Old</v>
      </c>
      <c r="N870" s="3" t="s">
        <v>15</v>
      </c>
    </row>
    <row r="871" spans="1:14" x14ac:dyDescent="0.35">
      <c r="A871" s="3">
        <v>26065</v>
      </c>
      <c r="B871" s="3" t="s">
        <v>37</v>
      </c>
      <c r="C871" s="3" t="s">
        <v>38</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35">
      <c r="A872" s="3">
        <v>13942</v>
      </c>
      <c r="B872" s="3" t="s">
        <v>36</v>
      </c>
      <c r="C872" s="3" t="s">
        <v>39</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35">
      <c r="A873" s="3">
        <v>11219</v>
      </c>
      <c r="B873" s="3" t="s">
        <v>36</v>
      </c>
      <c r="C873" s="3" t="s">
        <v>39</v>
      </c>
      <c r="D873" s="5">
        <v>60000</v>
      </c>
      <c r="E873" s="3">
        <v>2</v>
      </c>
      <c r="F873" s="3" t="s">
        <v>27</v>
      </c>
      <c r="G873" s="3" t="s">
        <v>21</v>
      </c>
      <c r="H873" s="3" t="s">
        <v>15</v>
      </c>
      <c r="I873" s="3">
        <v>2</v>
      </c>
      <c r="J873" s="3" t="s">
        <v>46</v>
      </c>
      <c r="K873" s="3" t="s">
        <v>32</v>
      </c>
      <c r="L873" s="3">
        <v>55</v>
      </c>
      <c r="M873" s="3" t="str">
        <f t="shared" si="13"/>
        <v>Old</v>
      </c>
      <c r="N873" s="3" t="s">
        <v>18</v>
      </c>
    </row>
    <row r="874" spans="1:14" x14ac:dyDescent="0.35">
      <c r="A874" s="3">
        <v>22118</v>
      </c>
      <c r="B874" s="3" t="s">
        <v>37</v>
      </c>
      <c r="C874" s="3" t="s">
        <v>38</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35">
      <c r="A875" s="3">
        <v>23197</v>
      </c>
      <c r="B875" s="3" t="s">
        <v>36</v>
      </c>
      <c r="C875" s="3" t="s">
        <v>39</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35">
      <c r="A876" s="3">
        <v>14883</v>
      </c>
      <c r="B876" s="3" t="s">
        <v>36</v>
      </c>
      <c r="C876" s="3" t="s">
        <v>38</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35">
      <c r="A877" s="3">
        <v>27279</v>
      </c>
      <c r="B877" s="3" t="s">
        <v>37</v>
      </c>
      <c r="C877" s="3" t="s">
        <v>38</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35">
      <c r="A878" s="3">
        <v>18322</v>
      </c>
      <c r="B878" s="3" t="s">
        <v>37</v>
      </c>
      <c r="C878" s="3" t="s">
        <v>39</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35">
      <c r="A879" s="3">
        <v>15879</v>
      </c>
      <c r="B879" s="3" t="s">
        <v>36</v>
      </c>
      <c r="C879" s="3" t="s">
        <v>39</v>
      </c>
      <c r="D879" s="5">
        <v>70000</v>
      </c>
      <c r="E879" s="3">
        <v>5</v>
      </c>
      <c r="F879" s="3" t="s">
        <v>13</v>
      </c>
      <c r="G879" s="3" t="s">
        <v>28</v>
      </c>
      <c r="H879" s="3" t="s">
        <v>15</v>
      </c>
      <c r="I879" s="3">
        <v>2</v>
      </c>
      <c r="J879" s="3" t="s">
        <v>22</v>
      </c>
      <c r="K879" s="3" t="s">
        <v>32</v>
      </c>
      <c r="L879" s="3">
        <v>61</v>
      </c>
      <c r="M879" s="3" t="str">
        <f t="shared" si="13"/>
        <v>Old</v>
      </c>
      <c r="N879" s="3" t="s">
        <v>18</v>
      </c>
    </row>
    <row r="880" spans="1:14" x14ac:dyDescent="0.35">
      <c r="A880" s="3">
        <v>28278</v>
      </c>
      <c r="B880" s="3" t="s">
        <v>36</v>
      </c>
      <c r="C880" s="3" t="s">
        <v>39</v>
      </c>
      <c r="D880" s="5">
        <v>50000</v>
      </c>
      <c r="E880" s="3">
        <v>2</v>
      </c>
      <c r="F880" s="3" t="s">
        <v>31</v>
      </c>
      <c r="G880" s="3" t="s">
        <v>28</v>
      </c>
      <c r="H880" s="3" t="s">
        <v>15</v>
      </c>
      <c r="I880" s="3">
        <v>2</v>
      </c>
      <c r="J880" s="3" t="s">
        <v>23</v>
      </c>
      <c r="K880" s="3" t="s">
        <v>32</v>
      </c>
      <c r="L880" s="3">
        <v>71</v>
      </c>
      <c r="M880" s="3" t="str">
        <f t="shared" si="13"/>
        <v>Old</v>
      </c>
      <c r="N880" s="3" t="s">
        <v>18</v>
      </c>
    </row>
    <row r="881" spans="1:14" x14ac:dyDescent="0.35">
      <c r="A881" s="3">
        <v>24416</v>
      </c>
      <c r="B881" s="3" t="s">
        <v>36</v>
      </c>
      <c r="C881" s="3" t="s">
        <v>39</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35">
      <c r="A882" s="3">
        <v>28066</v>
      </c>
      <c r="B882" s="3" t="s">
        <v>36</v>
      </c>
      <c r="C882" s="3" t="s">
        <v>39</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35">
      <c r="A883" s="3">
        <v>11275</v>
      </c>
      <c r="B883" s="3" t="s">
        <v>36</v>
      </c>
      <c r="C883" s="3" t="s">
        <v>38</v>
      </c>
      <c r="D883" s="5">
        <v>80000</v>
      </c>
      <c r="E883" s="3">
        <v>4</v>
      </c>
      <c r="F883" s="3" t="s">
        <v>31</v>
      </c>
      <c r="G883" s="3" t="s">
        <v>28</v>
      </c>
      <c r="H883" s="3" t="s">
        <v>15</v>
      </c>
      <c r="I883" s="3">
        <v>2</v>
      </c>
      <c r="J883" s="3" t="s">
        <v>16</v>
      </c>
      <c r="K883" s="3" t="s">
        <v>32</v>
      </c>
      <c r="L883" s="3">
        <v>72</v>
      </c>
      <c r="M883" s="3" t="str">
        <f t="shared" si="13"/>
        <v>Old</v>
      </c>
      <c r="N883" s="3" t="s">
        <v>15</v>
      </c>
    </row>
    <row r="884" spans="1:14" x14ac:dyDescent="0.35">
      <c r="A884" s="3">
        <v>14872</v>
      </c>
      <c r="B884" s="3" t="s">
        <v>36</v>
      </c>
      <c r="C884" s="3" t="s">
        <v>39</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35">
      <c r="A885" s="3">
        <v>16151</v>
      </c>
      <c r="B885" s="3" t="s">
        <v>36</v>
      </c>
      <c r="C885" s="3" t="s">
        <v>38</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35">
      <c r="A886" s="3">
        <v>19731</v>
      </c>
      <c r="B886" s="3" t="s">
        <v>36</v>
      </c>
      <c r="C886" s="3" t="s">
        <v>39</v>
      </c>
      <c r="D886" s="5">
        <v>80000</v>
      </c>
      <c r="E886" s="3">
        <v>4</v>
      </c>
      <c r="F886" s="3" t="s">
        <v>31</v>
      </c>
      <c r="G886" s="3" t="s">
        <v>28</v>
      </c>
      <c r="H886" s="3" t="s">
        <v>15</v>
      </c>
      <c r="I886" s="3">
        <v>2</v>
      </c>
      <c r="J886" s="3" t="s">
        <v>23</v>
      </c>
      <c r="K886" s="3" t="s">
        <v>32</v>
      </c>
      <c r="L886" s="3">
        <v>68</v>
      </c>
      <c r="M886" s="3" t="str">
        <f t="shared" si="13"/>
        <v>Old</v>
      </c>
      <c r="N886" s="3" t="s">
        <v>18</v>
      </c>
    </row>
    <row r="887" spans="1:14" x14ac:dyDescent="0.35">
      <c r="A887" s="3">
        <v>23801</v>
      </c>
      <c r="B887" s="3" t="s">
        <v>36</v>
      </c>
      <c r="C887" s="3" t="s">
        <v>38</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35">
      <c r="A888" s="3">
        <v>11807</v>
      </c>
      <c r="B888" s="3" t="s">
        <v>36</v>
      </c>
      <c r="C888" s="3" t="s">
        <v>39</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35">
      <c r="A889" s="3">
        <v>11622</v>
      </c>
      <c r="B889" s="3" t="s">
        <v>36</v>
      </c>
      <c r="C889" s="3" t="s">
        <v>39</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35">
      <c r="A890" s="3">
        <v>26597</v>
      </c>
      <c r="B890" s="3" t="s">
        <v>37</v>
      </c>
      <c r="C890" s="3" t="s">
        <v>38</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35">
      <c r="A891" s="3">
        <v>27074</v>
      </c>
      <c r="B891" s="3" t="s">
        <v>36</v>
      </c>
      <c r="C891" s="3" t="s">
        <v>38</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35">
      <c r="A892" s="3">
        <v>19228</v>
      </c>
      <c r="B892" s="3" t="s">
        <v>36</v>
      </c>
      <c r="C892" s="3" t="s">
        <v>38</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35">
      <c r="A893" s="3">
        <v>13415</v>
      </c>
      <c r="B893" s="3" t="s">
        <v>37</v>
      </c>
      <c r="C893" s="3" t="s">
        <v>39</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35">
      <c r="A894" s="3">
        <v>17000</v>
      </c>
      <c r="B894" s="3" t="s">
        <v>37</v>
      </c>
      <c r="C894" s="3" t="s">
        <v>38</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35">
      <c r="A895" s="3">
        <v>14569</v>
      </c>
      <c r="B895" s="3" t="s">
        <v>36</v>
      </c>
      <c r="C895" s="3" t="s">
        <v>39</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35">
      <c r="A896" s="3">
        <v>13873</v>
      </c>
      <c r="B896" s="3" t="s">
        <v>36</v>
      </c>
      <c r="C896" s="3" t="s">
        <v>39</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35">
      <c r="A897" s="3">
        <v>20401</v>
      </c>
      <c r="B897" s="3" t="s">
        <v>36</v>
      </c>
      <c r="C897" s="3" t="s">
        <v>38</v>
      </c>
      <c r="D897" s="5">
        <v>50000</v>
      </c>
      <c r="E897" s="3">
        <v>4</v>
      </c>
      <c r="F897" s="3" t="s">
        <v>13</v>
      </c>
      <c r="G897" s="3" t="s">
        <v>28</v>
      </c>
      <c r="H897" s="3" t="s">
        <v>15</v>
      </c>
      <c r="I897" s="3">
        <v>2</v>
      </c>
      <c r="J897" s="3" t="s">
        <v>26</v>
      </c>
      <c r="K897" s="3" t="s">
        <v>32</v>
      </c>
      <c r="L897" s="3">
        <v>64</v>
      </c>
      <c r="M897" s="3" t="str">
        <f t="shared" si="13"/>
        <v>Old</v>
      </c>
      <c r="N897" s="3" t="s">
        <v>15</v>
      </c>
    </row>
    <row r="898" spans="1:14" x14ac:dyDescent="0.35">
      <c r="A898" s="3">
        <v>21583</v>
      </c>
      <c r="B898" s="3" t="s">
        <v>36</v>
      </c>
      <c r="C898" s="3" t="s">
        <v>38</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35">
      <c r="A899" s="3">
        <v>12029</v>
      </c>
      <c r="B899" s="3" t="s">
        <v>36</v>
      </c>
      <c r="C899" s="3" t="s">
        <v>39</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35">
      <c r="A900" s="3">
        <v>18066</v>
      </c>
      <c r="B900" s="3" t="s">
        <v>37</v>
      </c>
      <c r="C900" s="3" t="s">
        <v>39</v>
      </c>
      <c r="D900" s="5">
        <v>70000</v>
      </c>
      <c r="E900" s="3">
        <v>5</v>
      </c>
      <c r="F900" s="3" t="s">
        <v>13</v>
      </c>
      <c r="G900" s="3" t="s">
        <v>28</v>
      </c>
      <c r="H900" s="3" t="s">
        <v>15</v>
      </c>
      <c r="I900" s="3">
        <v>3</v>
      </c>
      <c r="J900" s="3" t="s">
        <v>46</v>
      </c>
      <c r="K900" s="3" t="s">
        <v>32</v>
      </c>
      <c r="L900" s="3">
        <v>60</v>
      </c>
      <c r="M900" s="3" t="str">
        <f t="shared" si="14"/>
        <v>Old</v>
      </c>
      <c r="N900" s="3" t="s">
        <v>15</v>
      </c>
    </row>
    <row r="901" spans="1:14" x14ac:dyDescent="0.35">
      <c r="A901" s="3">
        <v>28192</v>
      </c>
      <c r="B901" s="3" t="s">
        <v>36</v>
      </c>
      <c r="C901" s="3" t="s">
        <v>38</v>
      </c>
      <c r="D901" s="5">
        <v>70000</v>
      </c>
      <c r="E901" s="3">
        <v>5</v>
      </c>
      <c r="F901" s="3" t="s">
        <v>31</v>
      </c>
      <c r="G901" s="3" t="s">
        <v>21</v>
      </c>
      <c r="H901" s="3" t="s">
        <v>15</v>
      </c>
      <c r="I901" s="3">
        <v>3</v>
      </c>
      <c r="J901" s="3" t="s">
        <v>46</v>
      </c>
      <c r="K901" s="3" t="s">
        <v>32</v>
      </c>
      <c r="L901" s="3">
        <v>46</v>
      </c>
      <c r="M901" s="3" t="str">
        <f t="shared" si="14"/>
        <v>Middle Age</v>
      </c>
      <c r="N901" s="3" t="s">
        <v>18</v>
      </c>
    </row>
    <row r="902" spans="1:14" x14ac:dyDescent="0.35">
      <c r="A902" s="3">
        <v>16122</v>
      </c>
      <c r="B902" s="3" t="s">
        <v>36</v>
      </c>
      <c r="C902" s="3" t="s">
        <v>39</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35">
      <c r="A903" s="3">
        <v>18607</v>
      </c>
      <c r="B903" s="3" t="s">
        <v>37</v>
      </c>
      <c r="C903" s="3" t="s">
        <v>38</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35">
      <c r="A904" s="3">
        <v>28858</v>
      </c>
      <c r="B904" s="3" t="s">
        <v>37</v>
      </c>
      <c r="C904" s="3" t="s">
        <v>39</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35">
      <c r="A905" s="3">
        <v>14432</v>
      </c>
      <c r="B905" s="3" t="s">
        <v>37</v>
      </c>
      <c r="C905" s="3" t="s">
        <v>39</v>
      </c>
      <c r="D905" s="5">
        <v>90000</v>
      </c>
      <c r="E905" s="3">
        <v>4</v>
      </c>
      <c r="F905" s="3" t="s">
        <v>31</v>
      </c>
      <c r="G905" s="3" t="s">
        <v>28</v>
      </c>
      <c r="H905" s="3" t="s">
        <v>15</v>
      </c>
      <c r="I905" s="3">
        <v>1</v>
      </c>
      <c r="J905" s="3" t="s">
        <v>23</v>
      </c>
      <c r="K905" s="3" t="s">
        <v>32</v>
      </c>
      <c r="L905" s="3">
        <v>73</v>
      </c>
      <c r="M905" s="3" t="str">
        <f t="shared" si="14"/>
        <v>Old</v>
      </c>
      <c r="N905" s="3" t="s">
        <v>18</v>
      </c>
    </row>
    <row r="906" spans="1:14" x14ac:dyDescent="0.35">
      <c r="A906" s="3">
        <v>26305</v>
      </c>
      <c r="B906" s="3" t="s">
        <v>37</v>
      </c>
      <c r="C906" s="3" t="s">
        <v>38</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35">
      <c r="A907" s="3">
        <v>22050</v>
      </c>
      <c r="B907" s="3" t="s">
        <v>37</v>
      </c>
      <c r="C907" s="3" t="s">
        <v>39</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35">
      <c r="A908" s="3">
        <v>25394</v>
      </c>
      <c r="B908" s="3" t="s">
        <v>36</v>
      </c>
      <c r="C908" s="3" t="s">
        <v>39</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35">
      <c r="A909" s="3">
        <v>19747</v>
      </c>
      <c r="B909" s="3" t="s">
        <v>36</v>
      </c>
      <c r="C909" s="3" t="s">
        <v>39</v>
      </c>
      <c r="D909" s="5">
        <v>50000</v>
      </c>
      <c r="E909" s="3">
        <v>4</v>
      </c>
      <c r="F909" s="3" t="s">
        <v>13</v>
      </c>
      <c r="G909" s="3" t="s">
        <v>28</v>
      </c>
      <c r="H909" s="3" t="s">
        <v>15</v>
      </c>
      <c r="I909" s="3">
        <v>2</v>
      </c>
      <c r="J909" s="3" t="s">
        <v>46</v>
      </c>
      <c r="K909" s="3" t="s">
        <v>32</v>
      </c>
      <c r="L909" s="3">
        <v>63</v>
      </c>
      <c r="M909" s="3" t="str">
        <f t="shared" si="14"/>
        <v>Old</v>
      </c>
      <c r="N909" s="3" t="s">
        <v>18</v>
      </c>
    </row>
    <row r="910" spans="1:14" x14ac:dyDescent="0.35">
      <c r="A910" s="3">
        <v>23195</v>
      </c>
      <c r="B910" s="3" t="s">
        <v>37</v>
      </c>
      <c r="C910" s="3" t="s">
        <v>39</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35">
      <c r="A911" s="3">
        <v>21695</v>
      </c>
      <c r="B911" s="3" t="s">
        <v>36</v>
      </c>
      <c r="C911" s="3" t="s">
        <v>39</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35">
      <c r="A912" s="3">
        <v>13934</v>
      </c>
      <c r="B912" s="3" t="s">
        <v>36</v>
      </c>
      <c r="C912" s="3" t="s">
        <v>39</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35">
      <c r="A913" s="3">
        <v>13337</v>
      </c>
      <c r="B913" s="3" t="s">
        <v>36</v>
      </c>
      <c r="C913" s="3" t="s">
        <v>38</v>
      </c>
      <c r="D913" s="5">
        <v>80000</v>
      </c>
      <c r="E913" s="3">
        <v>5</v>
      </c>
      <c r="F913" s="3" t="s">
        <v>13</v>
      </c>
      <c r="G913" s="3" t="s">
        <v>28</v>
      </c>
      <c r="H913" s="3" t="s">
        <v>15</v>
      </c>
      <c r="I913" s="3">
        <v>2</v>
      </c>
      <c r="J913" s="3" t="s">
        <v>23</v>
      </c>
      <c r="K913" s="3" t="s">
        <v>32</v>
      </c>
      <c r="L913" s="3">
        <v>64</v>
      </c>
      <c r="M913" s="3" t="str">
        <f t="shared" si="14"/>
        <v>Old</v>
      </c>
      <c r="N913" s="3" t="s">
        <v>18</v>
      </c>
    </row>
    <row r="914" spans="1:14" x14ac:dyDescent="0.35">
      <c r="A914" s="3">
        <v>27190</v>
      </c>
      <c r="B914" s="3" t="s">
        <v>36</v>
      </c>
      <c r="C914" s="3" t="s">
        <v>38</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35">
      <c r="A915" s="3">
        <v>28657</v>
      </c>
      <c r="B915" s="3" t="s">
        <v>37</v>
      </c>
      <c r="C915" s="3" t="s">
        <v>39</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35">
      <c r="A916" s="3">
        <v>21713</v>
      </c>
      <c r="B916" s="3" t="s">
        <v>37</v>
      </c>
      <c r="C916" s="3" t="s">
        <v>39</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35">
      <c r="A917" s="3">
        <v>21752</v>
      </c>
      <c r="B917" s="3" t="s">
        <v>36</v>
      </c>
      <c r="C917" s="3" t="s">
        <v>39</v>
      </c>
      <c r="D917" s="5">
        <v>60000</v>
      </c>
      <c r="E917" s="3">
        <v>3</v>
      </c>
      <c r="F917" s="3" t="s">
        <v>31</v>
      </c>
      <c r="G917" s="3" t="s">
        <v>28</v>
      </c>
      <c r="H917" s="3" t="s">
        <v>15</v>
      </c>
      <c r="I917" s="3">
        <v>2</v>
      </c>
      <c r="J917" s="3" t="s">
        <v>46</v>
      </c>
      <c r="K917" s="3" t="s">
        <v>32</v>
      </c>
      <c r="L917" s="3">
        <v>64</v>
      </c>
      <c r="M917" s="3" t="str">
        <f t="shared" si="14"/>
        <v>Old</v>
      </c>
      <c r="N917" s="3" t="s">
        <v>18</v>
      </c>
    </row>
    <row r="918" spans="1:14" x14ac:dyDescent="0.35">
      <c r="A918" s="3">
        <v>27273</v>
      </c>
      <c r="B918" s="3" t="s">
        <v>37</v>
      </c>
      <c r="C918" s="3" t="s">
        <v>39</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35">
      <c r="A919" s="3">
        <v>22719</v>
      </c>
      <c r="B919" s="3" t="s">
        <v>37</v>
      </c>
      <c r="C919" s="3" t="s">
        <v>39</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35">
      <c r="A920" s="3">
        <v>22042</v>
      </c>
      <c r="B920" s="3" t="s">
        <v>36</v>
      </c>
      <c r="C920" s="3" t="s">
        <v>38</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35">
      <c r="A921" s="3">
        <v>21451</v>
      </c>
      <c r="B921" s="3" t="s">
        <v>36</v>
      </c>
      <c r="C921" s="3" t="s">
        <v>38</v>
      </c>
      <c r="D921" s="5">
        <v>40000</v>
      </c>
      <c r="E921" s="3">
        <v>4</v>
      </c>
      <c r="F921" s="3" t="s">
        <v>27</v>
      </c>
      <c r="G921" s="3" t="s">
        <v>21</v>
      </c>
      <c r="H921" s="3" t="s">
        <v>15</v>
      </c>
      <c r="I921" s="3">
        <v>2</v>
      </c>
      <c r="J921" s="3" t="s">
        <v>46</v>
      </c>
      <c r="K921" s="3" t="s">
        <v>32</v>
      </c>
      <c r="L921" s="3">
        <v>61</v>
      </c>
      <c r="M921" s="3" t="str">
        <f t="shared" si="14"/>
        <v>Old</v>
      </c>
      <c r="N921" s="3" t="s">
        <v>18</v>
      </c>
    </row>
    <row r="922" spans="1:14" x14ac:dyDescent="0.35">
      <c r="A922" s="3">
        <v>20754</v>
      </c>
      <c r="B922" s="3" t="s">
        <v>36</v>
      </c>
      <c r="C922" s="3" t="s">
        <v>39</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35">
      <c r="A923" s="3">
        <v>12153</v>
      </c>
      <c r="B923" s="3" t="s">
        <v>37</v>
      </c>
      <c r="C923" s="3" t="s">
        <v>38</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35">
      <c r="A924" s="3">
        <v>16895</v>
      </c>
      <c r="B924" s="3" t="s">
        <v>36</v>
      </c>
      <c r="C924" s="3" t="s">
        <v>38</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35">
      <c r="A925" s="3">
        <v>26728</v>
      </c>
      <c r="B925" s="3" t="s">
        <v>37</v>
      </c>
      <c r="C925" s="3" t="s">
        <v>39</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35">
      <c r="A926" s="3">
        <v>11090</v>
      </c>
      <c r="B926" s="3" t="s">
        <v>37</v>
      </c>
      <c r="C926" s="3" t="s">
        <v>39</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35">
      <c r="A927" s="3">
        <v>15862</v>
      </c>
      <c r="B927" s="3" t="s">
        <v>37</v>
      </c>
      <c r="C927" s="3" t="s">
        <v>38</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35">
      <c r="A928" s="3">
        <v>26495</v>
      </c>
      <c r="B928" s="3" t="s">
        <v>37</v>
      </c>
      <c r="C928" s="3" t="s">
        <v>38</v>
      </c>
      <c r="D928" s="5">
        <v>40000</v>
      </c>
      <c r="E928" s="3">
        <v>2</v>
      </c>
      <c r="F928" s="3" t="s">
        <v>27</v>
      </c>
      <c r="G928" s="3" t="s">
        <v>21</v>
      </c>
      <c r="H928" s="3" t="s">
        <v>15</v>
      </c>
      <c r="I928" s="3">
        <v>2</v>
      </c>
      <c r="J928" s="3" t="s">
        <v>46</v>
      </c>
      <c r="K928" s="3" t="s">
        <v>32</v>
      </c>
      <c r="L928" s="3">
        <v>57</v>
      </c>
      <c r="M928" s="3" t="str">
        <f t="shared" si="14"/>
        <v>Old</v>
      </c>
      <c r="N928" s="3" t="s">
        <v>18</v>
      </c>
    </row>
    <row r="929" spans="1:14" x14ac:dyDescent="0.35">
      <c r="A929" s="3">
        <v>11823</v>
      </c>
      <c r="B929" s="3" t="s">
        <v>36</v>
      </c>
      <c r="C929" s="3" t="s">
        <v>38</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35">
      <c r="A930" s="3">
        <v>23449</v>
      </c>
      <c r="B930" s="3" t="s">
        <v>36</v>
      </c>
      <c r="C930" s="3" t="s">
        <v>39</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35">
      <c r="A931" s="3">
        <v>23459</v>
      </c>
      <c r="B931" s="3" t="s">
        <v>36</v>
      </c>
      <c r="C931" s="3" t="s">
        <v>39</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35">
      <c r="A932" s="3">
        <v>19543</v>
      </c>
      <c r="B932" s="3" t="s">
        <v>36</v>
      </c>
      <c r="C932" s="3" t="s">
        <v>39</v>
      </c>
      <c r="D932" s="5">
        <v>70000</v>
      </c>
      <c r="E932" s="3">
        <v>5</v>
      </c>
      <c r="F932" s="3" t="s">
        <v>31</v>
      </c>
      <c r="G932" s="3" t="s">
        <v>21</v>
      </c>
      <c r="H932" s="3" t="s">
        <v>18</v>
      </c>
      <c r="I932" s="3">
        <v>3</v>
      </c>
      <c r="J932" s="3" t="s">
        <v>46</v>
      </c>
      <c r="K932" s="3" t="s">
        <v>32</v>
      </c>
      <c r="L932" s="3">
        <v>47</v>
      </c>
      <c r="M932" s="3" t="str">
        <f t="shared" si="14"/>
        <v>Middle Age</v>
      </c>
      <c r="N932" s="3" t="s">
        <v>18</v>
      </c>
    </row>
    <row r="933" spans="1:14" x14ac:dyDescent="0.35">
      <c r="A933" s="3">
        <v>14914</v>
      </c>
      <c r="B933" s="3" t="s">
        <v>36</v>
      </c>
      <c r="C933" s="3" t="s">
        <v>38</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35">
      <c r="A934" s="3">
        <v>12033</v>
      </c>
      <c r="B934" s="3" t="s">
        <v>37</v>
      </c>
      <c r="C934" s="3" t="s">
        <v>38</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35">
      <c r="A935" s="3">
        <v>11941</v>
      </c>
      <c r="B935" s="3" t="s">
        <v>37</v>
      </c>
      <c r="C935" s="3" t="s">
        <v>39</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35">
      <c r="A936" s="3">
        <v>14389</v>
      </c>
      <c r="B936" s="3" t="s">
        <v>36</v>
      </c>
      <c r="C936" s="3" t="s">
        <v>39</v>
      </c>
      <c r="D936" s="5">
        <v>60000</v>
      </c>
      <c r="E936" s="3">
        <v>2</v>
      </c>
      <c r="F936" s="3" t="s">
        <v>13</v>
      </c>
      <c r="G936" s="3" t="s">
        <v>28</v>
      </c>
      <c r="H936" s="3" t="s">
        <v>15</v>
      </c>
      <c r="I936" s="3">
        <v>0</v>
      </c>
      <c r="J936" s="3" t="s">
        <v>22</v>
      </c>
      <c r="K936" s="3" t="s">
        <v>32</v>
      </c>
      <c r="L936" s="3">
        <v>59</v>
      </c>
      <c r="M936" s="3" t="str">
        <f t="shared" si="14"/>
        <v>Old</v>
      </c>
      <c r="N936" s="3" t="s">
        <v>18</v>
      </c>
    </row>
    <row r="937" spans="1:14" x14ac:dyDescent="0.35">
      <c r="A937" s="3">
        <v>18050</v>
      </c>
      <c r="B937" s="3" t="s">
        <v>36</v>
      </c>
      <c r="C937" s="3" t="s">
        <v>38</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35">
      <c r="A938" s="3">
        <v>19856</v>
      </c>
      <c r="B938" s="3" t="s">
        <v>36</v>
      </c>
      <c r="C938" s="3" t="s">
        <v>38</v>
      </c>
      <c r="D938" s="5">
        <v>60000</v>
      </c>
      <c r="E938" s="3">
        <v>4</v>
      </c>
      <c r="F938" s="3" t="s">
        <v>13</v>
      </c>
      <c r="G938" s="3" t="s">
        <v>28</v>
      </c>
      <c r="H938" s="3" t="s">
        <v>15</v>
      </c>
      <c r="I938" s="3">
        <v>2</v>
      </c>
      <c r="J938" s="3" t="s">
        <v>22</v>
      </c>
      <c r="K938" s="3" t="s">
        <v>32</v>
      </c>
      <c r="L938" s="3">
        <v>60</v>
      </c>
      <c r="M938" s="3" t="str">
        <f t="shared" si="14"/>
        <v>Old</v>
      </c>
      <c r="N938" s="3" t="s">
        <v>18</v>
      </c>
    </row>
    <row r="939" spans="1:14" x14ac:dyDescent="0.35">
      <c r="A939" s="3">
        <v>11663</v>
      </c>
      <c r="B939" s="3" t="s">
        <v>36</v>
      </c>
      <c r="C939" s="3" t="s">
        <v>39</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35">
      <c r="A940" s="3">
        <v>27740</v>
      </c>
      <c r="B940" s="3" t="s">
        <v>36</v>
      </c>
      <c r="C940" s="3" t="s">
        <v>38</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35">
      <c r="A941" s="3">
        <v>23455</v>
      </c>
      <c r="B941" s="3" t="s">
        <v>37</v>
      </c>
      <c r="C941" s="3" t="s">
        <v>39</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35">
      <c r="A942" s="3">
        <v>15292</v>
      </c>
      <c r="B942" s="3" t="s">
        <v>37</v>
      </c>
      <c r="C942" s="3" t="s">
        <v>38</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35">
      <c r="A943" s="3">
        <v>21587</v>
      </c>
      <c r="B943" s="3" t="s">
        <v>36</v>
      </c>
      <c r="C943" s="3" t="s">
        <v>38</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35">
      <c r="A944" s="3">
        <v>23513</v>
      </c>
      <c r="B944" s="3" t="s">
        <v>36</v>
      </c>
      <c r="C944" s="3" t="s">
        <v>38</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35">
      <c r="A945" s="3">
        <v>24322</v>
      </c>
      <c r="B945" s="3" t="s">
        <v>36</v>
      </c>
      <c r="C945" s="3" t="s">
        <v>38</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35">
      <c r="A946" s="3">
        <v>26298</v>
      </c>
      <c r="B946" s="3" t="s">
        <v>36</v>
      </c>
      <c r="C946" s="3" t="s">
        <v>38</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35">
      <c r="A947" s="3">
        <v>25419</v>
      </c>
      <c r="B947" s="3" t="s">
        <v>37</v>
      </c>
      <c r="C947" s="3" t="s">
        <v>39</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35">
      <c r="A948" s="3">
        <v>13343</v>
      </c>
      <c r="B948" s="3" t="s">
        <v>36</v>
      </c>
      <c r="C948" s="3" t="s">
        <v>38</v>
      </c>
      <c r="D948" s="5">
        <v>90000</v>
      </c>
      <c r="E948" s="3">
        <v>5</v>
      </c>
      <c r="F948" s="3" t="s">
        <v>13</v>
      </c>
      <c r="G948" s="3" t="s">
        <v>28</v>
      </c>
      <c r="H948" s="3" t="s">
        <v>15</v>
      </c>
      <c r="I948" s="3">
        <v>2</v>
      </c>
      <c r="J948" s="3" t="s">
        <v>26</v>
      </c>
      <c r="K948" s="3" t="s">
        <v>32</v>
      </c>
      <c r="L948" s="3">
        <v>63</v>
      </c>
      <c r="M948" s="3" t="str">
        <f t="shared" si="14"/>
        <v>Old</v>
      </c>
      <c r="N948" s="3" t="s">
        <v>15</v>
      </c>
    </row>
    <row r="949" spans="1:14" x14ac:dyDescent="0.35">
      <c r="A949" s="3">
        <v>11303</v>
      </c>
      <c r="B949" s="3" t="s">
        <v>37</v>
      </c>
      <c r="C949" s="3" t="s">
        <v>38</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35">
      <c r="A950" s="3">
        <v>21693</v>
      </c>
      <c r="B950" s="3" t="s">
        <v>37</v>
      </c>
      <c r="C950" s="3" t="s">
        <v>38</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35">
      <c r="A951" s="3">
        <v>28056</v>
      </c>
      <c r="B951" s="3" t="s">
        <v>36</v>
      </c>
      <c r="C951" s="3" t="s">
        <v>39</v>
      </c>
      <c r="D951" s="5">
        <v>70000</v>
      </c>
      <c r="E951" s="3">
        <v>2</v>
      </c>
      <c r="F951" s="3" t="s">
        <v>29</v>
      </c>
      <c r="G951" s="3" t="s">
        <v>14</v>
      </c>
      <c r="H951" s="3" t="s">
        <v>15</v>
      </c>
      <c r="I951" s="3">
        <v>2</v>
      </c>
      <c r="J951" s="3" t="s">
        <v>46</v>
      </c>
      <c r="K951" s="3" t="s">
        <v>32</v>
      </c>
      <c r="L951" s="3">
        <v>53</v>
      </c>
      <c r="M951" s="3" t="str">
        <f t="shared" si="14"/>
        <v>Middle Age</v>
      </c>
      <c r="N951" s="3" t="s">
        <v>18</v>
      </c>
    </row>
    <row r="952" spans="1:14" x14ac:dyDescent="0.35">
      <c r="A952" s="3">
        <v>11788</v>
      </c>
      <c r="B952" s="3" t="s">
        <v>37</v>
      </c>
      <c r="C952" s="3" t="s">
        <v>38</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35">
      <c r="A953" s="3">
        <v>22296</v>
      </c>
      <c r="B953" s="3" t="s">
        <v>36</v>
      </c>
      <c r="C953" s="3" t="s">
        <v>39</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35">
      <c r="A954" s="3">
        <v>15319</v>
      </c>
      <c r="B954" s="3" t="s">
        <v>36</v>
      </c>
      <c r="C954" s="3" t="s">
        <v>38</v>
      </c>
      <c r="D954" s="5">
        <v>70000</v>
      </c>
      <c r="E954" s="3">
        <v>4</v>
      </c>
      <c r="F954" s="3" t="s">
        <v>13</v>
      </c>
      <c r="G954" s="3" t="s">
        <v>28</v>
      </c>
      <c r="H954" s="3" t="s">
        <v>18</v>
      </c>
      <c r="I954" s="3">
        <v>1</v>
      </c>
      <c r="J954" s="3" t="s">
        <v>26</v>
      </c>
      <c r="K954" s="3" t="s">
        <v>32</v>
      </c>
      <c r="L954" s="3">
        <v>59</v>
      </c>
      <c r="M954" s="3" t="str">
        <f t="shared" si="14"/>
        <v>Old</v>
      </c>
      <c r="N954" s="3" t="s">
        <v>18</v>
      </c>
    </row>
    <row r="955" spans="1:14" x14ac:dyDescent="0.35">
      <c r="A955" s="3">
        <v>17654</v>
      </c>
      <c r="B955" s="3" t="s">
        <v>37</v>
      </c>
      <c r="C955" s="3" t="s">
        <v>38</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35">
      <c r="A956" s="3">
        <v>14662</v>
      </c>
      <c r="B956" s="3" t="s">
        <v>36</v>
      </c>
      <c r="C956" s="3" t="s">
        <v>39</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35">
      <c r="A957" s="3">
        <v>17541</v>
      </c>
      <c r="B957" s="3" t="s">
        <v>36</v>
      </c>
      <c r="C957" s="3" t="s">
        <v>38</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35">
      <c r="A958" s="3">
        <v>13886</v>
      </c>
      <c r="B958" s="3" t="s">
        <v>36</v>
      </c>
      <c r="C958" s="3" t="s">
        <v>38</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35">
      <c r="A959" s="3">
        <v>13073</v>
      </c>
      <c r="B959" s="3" t="s">
        <v>36</v>
      </c>
      <c r="C959" s="3" t="s">
        <v>38</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35">
      <c r="A960" s="3">
        <v>21940</v>
      </c>
      <c r="B960" s="3" t="s">
        <v>36</v>
      </c>
      <c r="C960" s="3" t="s">
        <v>39</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35">
      <c r="A961" s="3">
        <v>20196</v>
      </c>
      <c r="B961" s="3" t="s">
        <v>36</v>
      </c>
      <c r="C961" s="3" t="s">
        <v>39</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35">
      <c r="A962" s="3">
        <v>23491</v>
      </c>
      <c r="B962" s="3" t="s">
        <v>37</v>
      </c>
      <c r="C962" s="3" t="s">
        <v>39</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35">
      <c r="A963" s="3">
        <v>16651</v>
      </c>
      <c r="B963" s="3" t="s">
        <v>36</v>
      </c>
      <c r="C963" s="3" t="s">
        <v>38</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35">
      <c r="A964" s="3">
        <v>16813</v>
      </c>
      <c r="B964" s="3" t="s">
        <v>36</v>
      </c>
      <c r="C964" s="3" t="s">
        <v>39</v>
      </c>
      <c r="D964" s="5">
        <v>60000</v>
      </c>
      <c r="E964" s="3">
        <v>2</v>
      </c>
      <c r="F964" s="3" t="s">
        <v>19</v>
      </c>
      <c r="G964" s="3" t="s">
        <v>21</v>
      </c>
      <c r="H964" s="3" t="s">
        <v>15</v>
      </c>
      <c r="I964" s="3">
        <v>2</v>
      </c>
      <c r="J964" s="3" t="s">
        <v>46</v>
      </c>
      <c r="K964" s="3" t="s">
        <v>32</v>
      </c>
      <c r="L964" s="3">
        <v>55</v>
      </c>
      <c r="M964" s="3" t="str">
        <f t="shared" si="15"/>
        <v>Old</v>
      </c>
      <c r="N964" s="3" t="s">
        <v>18</v>
      </c>
    </row>
    <row r="965" spans="1:14" x14ac:dyDescent="0.35">
      <c r="A965" s="3">
        <v>16007</v>
      </c>
      <c r="B965" s="3" t="s">
        <v>36</v>
      </c>
      <c r="C965" s="3" t="s">
        <v>38</v>
      </c>
      <c r="D965" s="5">
        <v>90000</v>
      </c>
      <c r="E965" s="3">
        <v>5</v>
      </c>
      <c r="F965" s="3" t="s">
        <v>13</v>
      </c>
      <c r="G965" s="3" t="s">
        <v>28</v>
      </c>
      <c r="H965" s="3" t="s">
        <v>15</v>
      </c>
      <c r="I965" s="3">
        <v>2</v>
      </c>
      <c r="J965" s="3" t="s">
        <v>26</v>
      </c>
      <c r="K965" s="3" t="s">
        <v>32</v>
      </c>
      <c r="L965" s="3">
        <v>66</v>
      </c>
      <c r="M965" s="3" t="str">
        <f t="shared" si="15"/>
        <v>Old</v>
      </c>
      <c r="N965" s="3" t="s">
        <v>15</v>
      </c>
    </row>
    <row r="966" spans="1:14" x14ac:dyDescent="0.35">
      <c r="A966" s="3">
        <v>27434</v>
      </c>
      <c r="B966" s="3" t="s">
        <v>37</v>
      </c>
      <c r="C966" s="3" t="s">
        <v>39</v>
      </c>
      <c r="D966" s="5">
        <v>70000</v>
      </c>
      <c r="E966" s="3">
        <v>4</v>
      </c>
      <c r="F966" s="3" t="s">
        <v>19</v>
      </c>
      <c r="G966" s="3" t="s">
        <v>21</v>
      </c>
      <c r="H966" s="3" t="s">
        <v>15</v>
      </c>
      <c r="I966" s="3">
        <v>1</v>
      </c>
      <c r="J966" s="3" t="s">
        <v>46</v>
      </c>
      <c r="K966" s="3" t="s">
        <v>32</v>
      </c>
      <c r="L966" s="3">
        <v>56</v>
      </c>
      <c r="M966" s="3" t="str">
        <f t="shared" si="15"/>
        <v>Old</v>
      </c>
      <c r="N966" s="3" t="s">
        <v>18</v>
      </c>
    </row>
    <row r="967" spans="1:14" x14ac:dyDescent="0.35">
      <c r="A967" s="3">
        <v>27756</v>
      </c>
      <c r="B967" s="3" t="s">
        <v>37</v>
      </c>
      <c r="C967" s="3" t="s">
        <v>38</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35">
      <c r="A968" s="3">
        <v>23818</v>
      </c>
      <c r="B968" s="3" t="s">
        <v>36</v>
      </c>
      <c r="C968" s="3" t="s">
        <v>38</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35">
      <c r="A969" s="3">
        <v>19012</v>
      </c>
      <c r="B969" s="3" t="s">
        <v>36</v>
      </c>
      <c r="C969" s="3" t="s">
        <v>39</v>
      </c>
      <c r="D969" s="5">
        <v>80000</v>
      </c>
      <c r="E969" s="3">
        <v>3</v>
      </c>
      <c r="F969" s="3" t="s">
        <v>13</v>
      </c>
      <c r="G969" s="3" t="s">
        <v>28</v>
      </c>
      <c r="H969" s="3" t="s">
        <v>15</v>
      </c>
      <c r="I969" s="3">
        <v>1</v>
      </c>
      <c r="J969" s="3" t="s">
        <v>26</v>
      </c>
      <c r="K969" s="3" t="s">
        <v>32</v>
      </c>
      <c r="L969" s="3">
        <v>56</v>
      </c>
      <c r="M969" s="3" t="str">
        <f t="shared" si="15"/>
        <v>Old</v>
      </c>
      <c r="N969" s="3" t="s">
        <v>18</v>
      </c>
    </row>
    <row r="970" spans="1:14" x14ac:dyDescent="0.35">
      <c r="A970" s="3">
        <v>18329</v>
      </c>
      <c r="B970" s="3" t="s">
        <v>37</v>
      </c>
      <c r="C970" s="3" t="s">
        <v>39</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35">
      <c r="A971" s="3">
        <v>29037</v>
      </c>
      <c r="B971" s="3" t="s">
        <v>36</v>
      </c>
      <c r="C971" s="3" t="s">
        <v>39</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35">
      <c r="A972" s="3">
        <v>26576</v>
      </c>
      <c r="B972" s="3" t="s">
        <v>36</v>
      </c>
      <c r="C972" s="3" t="s">
        <v>38</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35">
      <c r="A973" s="3">
        <v>12192</v>
      </c>
      <c r="B973" s="3" t="s">
        <v>37</v>
      </c>
      <c r="C973" s="3" t="s">
        <v>38</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35">
      <c r="A974" s="3">
        <v>14887</v>
      </c>
      <c r="B974" s="3" t="s">
        <v>36</v>
      </c>
      <c r="C974" s="3" t="s">
        <v>38</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35">
      <c r="A975" s="3">
        <v>11734</v>
      </c>
      <c r="B975" s="3" t="s">
        <v>36</v>
      </c>
      <c r="C975" s="3" t="s">
        <v>39</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35">
      <c r="A976" s="3">
        <v>17462</v>
      </c>
      <c r="B976" s="3" t="s">
        <v>36</v>
      </c>
      <c r="C976" s="3" t="s">
        <v>39</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35">
      <c r="A977" s="3">
        <v>20659</v>
      </c>
      <c r="B977" s="3" t="s">
        <v>36</v>
      </c>
      <c r="C977" s="3" t="s">
        <v>39</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35">
      <c r="A978" s="3">
        <v>28004</v>
      </c>
      <c r="B978" s="3" t="s">
        <v>36</v>
      </c>
      <c r="C978" s="3" t="s">
        <v>38</v>
      </c>
      <c r="D978" s="5">
        <v>60000</v>
      </c>
      <c r="E978" s="3">
        <v>3</v>
      </c>
      <c r="F978" s="3" t="s">
        <v>13</v>
      </c>
      <c r="G978" s="3" t="s">
        <v>28</v>
      </c>
      <c r="H978" s="3" t="s">
        <v>15</v>
      </c>
      <c r="I978" s="3">
        <v>2</v>
      </c>
      <c r="J978" s="3" t="s">
        <v>46</v>
      </c>
      <c r="K978" s="3" t="s">
        <v>32</v>
      </c>
      <c r="L978" s="3">
        <v>66</v>
      </c>
      <c r="M978" s="3" t="str">
        <f t="shared" si="15"/>
        <v>Old</v>
      </c>
      <c r="N978" s="3" t="s">
        <v>18</v>
      </c>
    </row>
    <row r="979" spans="1:14" x14ac:dyDescent="0.35">
      <c r="A979" s="3">
        <v>19741</v>
      </c>
      <c r="B979" s="3" t="s">
        <v>37</v>
      </c>
      <c r="C979" s="3" t="s">
        <v>38</v>
      </c>
      <c r="D979" s="5">
        <v>80000</v>
      </c>
      <c r="E979" s="3">
        <v>4</v>
      </c>
      <c r="F979" s="3" t="s">
        <v>31</v>
      </c>
      <c r="G979" s="3" t="s">
        <v>28</v>
      </c>
      <c r="H979" s="3" t="s">
        <v>15</v>
      </c>
      <c r="I979" s="3">
        <v>2</v>
      </c>
      <c r="J979" s="3" t="s">
        <v>23</v>
      </c>
      <c r="K979" s="3" t="s">
        <v>32</v>
      </c>
      <c r="L979" s="3">
        <v>65</v>
      </c>
      <c r="M979" s="3" t="str">
        <f t="shared" si="15"/>
        <v>Old</v>
      </c>
      <c r="N979" s="3" t="s">
        <v>18</v>
      </c>
    </row>
    <row r="980" spans="1:14" x14ac:dyDescent="0.35">
      <c r="A980" s="3">
        <v>17450</v>
      </c>
      <c r="B980" s="3" t="s">
        <v>36</v>
      </c>
      <c r="C980" s="3" t="s">
        <v>39</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35">
      <c r="A981" s="3">
        <v>17337</v>
      </c>
      <c r="B981" s="3" t="s">
        <v>37</v>
      </c>
      <c r="C981" s="3" t="s">
        <v>39</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35">
      <c r="A982" s="3">
        <v>18594</v>
      </c>
      <c r="B982" s="3" t="s">
        <v>37</v>
      </c>
      <c r="C982" s="3" t="s">
        <v>38</v>
      </c>
      <c r="D982" s="5">
        <v>80000</v>
      </c>
      <c r="E982" s="3">
        <v>3</v>
      </c>
      <c r="F982" s="3" t="s">
        <v>13</v>
      </c>
      <c r="G982" s="3" t="s">
        <v>14</v>
      </c>
      <c r="H982" s="3" t="s">
        <v>15</v>
      </c>
      <c r="I982" s="3">
        <v>3</v>
      </c>
      <c r="J982" s="3" t="s">
        <v>46</v>
      </c>
      <c r="K982" s="3" t="s">
        <v>32</v>
      </c>
      <c r="L982" s="3">
        <v>40</v>
      </c>
      <c r="M982" s="3" t="str">
        <f t="shared" si="15"/>
        <v>Middle Age</v>
      </c>
      <c r="N982" s="3" t="s">
        <v>15</v>
      </c>
    </row>
    <row r="983" spans="1:14" x14ac:dyDescent="0.35">
      <c r="A983" s="3">
        <v>15982</v>
      </c>
      <c r="B983" s="3" t="s">
        <v>36</v>
      </c>
      <c r="C983" s="3" t="s">
        <v>39</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35">
      <c r="A984" s="3">
        <v>28625</v>
      </c>
      <c r="B984" s="3" t="s">
        <v>37</v>
      </c>
      <c r="C984" s="3" t="s">
        <v>39</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35">
      <c r="A985" s="3">
        <v>11269</v>
      </c>
      <c r="B985" s="3" t="s">
        <v>36</v>
      </c>
      <c r="C985" s="3" t="s">
        <v>39</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35">
      <c r="A986" s="3">
        <v>25148</v>
      </c>
      <c r="B986" s="3" t="s">
        <v>36</v>
      </c>
      <c r="C986" s="3" t="s">
        <v>39</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35">
      <c r="A987" s="3">
        <v>13920</v>
      </c>
      <c r="B987" s="3" t="s">
        <v>37</v>
      </c>
      <c r="C987" s="3" t="s">
        <v>38</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35">
      <c r="A988" s="3">
        <v>23704</v>
      </c>
      <c r="B988" s="3" t="s">
        <v>37</v>
      </c>
      <c r="C988" s="3" t="s">
        <v>39</v>
      </c>
      <c r="D988" s="5">
        <v>40000</v>
      </c>
      <c r="E988" s="3">
        <v>5</v>
      </c>
      <c r="F988" s="3" t="s">
        <v>27</v>
      </c>
      <c r="G988" s="3" t="s">
        <v>21</v>
      </c>
      <c r="H988" s="3" t="s">
        <v>15</v>
      </c>
      <c r="I988" s="3">
        <v>4</v>
      </c>
      <c r="J988" s="3" t="s">
        <v>46</v>
      </c>
      <c r="K988" s="3" t="s">
        <v>32</v>
      </c>
      <c r="L988" s="3">
        <v>60</v>
      </c>
      <c r="M988" s="3" t="str">
        <f t="shared" si="15"/>
        <v>Old</v>
      </c>
      <c r="N988" s="3" t="s">
        <v>15</v>
      </c>
    </row>
    <row r="989" spans="1:14" x14ac:dyDescent="0.35">
      <c r="A989" s="3">
        <v>28972</v>
      </c>
      <c r="B989" s="3" t="s">
        <v>37</v>
      </c>
      <c r="C989" s="3" t="s">
        <v>38</v>
      </c>
      <c r="D989" s="5">
        <v>60000</v>
      </c>
      <c r="E989" s="3">
        <v>3</v>
      </c>
      <c r="F989" s="3" t="s">
        <v>31</v>
      </c>
      <c r="G989" s="3" t="s">
        <v>28</v>
      </c>
      <c r="H989" s="3" t="s">
        <v>15</v>
      </c>
      <c r="I989" s="3">
        <v>2</v>
      </c>
      <c r="J989" s="3" t="s">
        <v>46</v>
      </c>
      <c r="K989" s="3" t="s">
        <v>32</v>
      </c>
      <c r="L989" s="3">
        <v>66</v>
      </c>
      <c r="M989" s="3" t="str">
        <f t="shared" si="15"/>
        <v>Old</v>
      </c>
      <c r="N989" s="3" t="s">
        <v>18</v>
      </c>
    </row>
    <row r="990" spans="1:14" x14ac:dyDescent="0.35">
      <c r="A990" s="3">
        <v>22730</v>
      </c>
      <c r="B990" s="3" t="s">
        <v>36</v>
      </c>
      <c r="C990" s="3" t="s">
        <v>39</v>
      </c>
      <c r="D990" s="5">
        <v>70000</v>
      </c>
      <c r="E990" s="3">
        <v>5</v>
      </c>
      <c r="F990" s="3" t="s">
        <v>13</v>
      </c>
      <c r="G990" s="3" t="s">
        <v>28</v>
      </c>
      <c r="H990" s="3" t="s">
        <v>15</v>
      </c>
      <c r="I990" s="3">
        <v>2</v>
      </c>
      <c r="J990" s="3" t="s">
        <v>46</v>
      </c>
      <c r="K990" s="3" t="s">
        <v>32</v>
      </c>
      <c r="L990" s="3">
        <v>63</v>
      </c>
      <c r="M990" s="3" t="str">
        <f t="shared" si="15"/>
        <v>Old</v>
      </c>
      <c r="N990" s="3" t="s">
        <v>18</v>
      </c>
    </row>
    <row r="991" spans="1:14" x14ac:dyDescent="0.35">
      <c r="A991" s="3">
        <v>29134</v>
      </c>
      <c r="B991" s="3" t="s">
        <v>36</v>
      </c>
      <c r="C991" s="3" t="s">
        <v>39</v>
      </c>
      <c r="D991" s="5">
        <v>60000</v>
      </c>
      <c r="E991" s="3">
        <v>4</v>
      </c>
      <c r="F991" s="3" t="s">
        <v>13</v>
      </c>
      <c r="G991" s="3" t="s">
        <v>14</v>
      </c>
      <c r="H991" s="3" t="s">
        <v>18</v>
      </c>
      <c r="I991" s="3">
        <v>3</v>
      </c>
      <c r="J991" s="3" t="s">
        <v>46</v>
      </c>
      <c r="K991" s="3" t="s">
        <v>32</v>
      </c>
      <c r="L991" s="3">
        <v>42</v>
      </c>
      <c r="M991" s="3" t="str">
        <f t="shared" si="15"/>
        <v>Middle Age</v>
      </c>
      <c r="N991" s="3" t="s">
        <v>18</v>
      </c>
    </row>
    <row r="992" spans="1:14" x14ac:dyDescent="0.35">
      <c r="A992" s="3">
        <v>14332</v>
      </c>
      <c r="B992" s="3" t="s">
        <v>37</v>
      </c>
      <c r="C992" s="3" t="s">
        <v>38</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35">
      <c r="A993" s="3">
        <v>19117</v>
      </c>
      <c r="B993" s="3" t="s">
        <v>37</v>
      </c>
      <c r="C993" s="3" t="s">
        <v>38</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35">
      <c r="A994" s="3">
        <v>22864</v>
      </c>
      <c r="B994" s="3" t="s">
        <v>36</v>
      </c>
      <c r="C994" s="3" t="s">
        <v>39</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35">
      <c r="A995" s="3">
        <v>11292</v>
      </c>
      <c r="B995" s="3" t="s">
        <v>37</v>
      </c>
      <c r="C995" s="3" t="s">
        <v>39</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35">
      <c r="A996" s="3">
        <v>13466</v>
      </c>
      <c r="B996" s="3" t="s">
        <v>36</v>
      </c>
      <c r="C996" s="3" t="s">
        <v>39</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35">
      <c r="A997" s="3">
        <v>23731</v>
      </c>
      <c r="B997" s="3" t="s">
        <v>36</v>
      </c>
      <c r="C997" s="3" t="s">
        <v>39</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35">
      <c r="A998" s="3">
        <v>28672</v>
      </c>
      <c r="B998" s="3" t="s">
        <v>37</v>
      </c>
      <c r="C998" s="3" t="s">
        <v>39</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35">
      <c r="A999" s="3">
        <v>11809</v>
      </c>
      <c r="B999" s="3" t="s">
        <v>36</v>
      </c>
      <c r="C999" s="3" t="s">
        <v>39</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35">
      <c r="A1000" s="3">
        <v>19664</v>
      </c>
      <c r="B1000" s="3" t="s">
        <v>37</v>
      </c>
      <c r="C1000" s="3" t="s">
        <v>39</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35">
      <c r="A1001" s="3">
        <v>12121</v>
      </c>
      <c r="B1001" s="3" t="s">
        <v>37</v>
      </c>
      <c r="C1001" s="3" t="s">
        <v>39</v>
      </c>
      <c r="D1001" s="5">
        <v>60000</v>
      </c>
      <c r="E1001" s="3">
        <v>3</v>
      </c>
      <c r="F1001" s="3" t="s">
        <v>27</v>
      </c>
      <c r="G1001" s="3" t="s">
        <v>21</v>
      </c>
      <c r="H1001" s="3" t="s">
        <v>15</v>
      </c>
      <c r="I1001" s="3">
        <v>2</v>
      </c>
      <c r="J1001" s="3" t="s">
        <v>46</v>
      </c>
      <c r="K1001" s="3" t="s">
        <v>32</v>
      </c>
      <c r="L1001" s="3">
        <v>53</v>
      </c>
      <c r="M1001" s="3" t="str">
        <f t="shared" si="15"/>
        <v>Middle Age</v>
      </c>
      <c r="N1001" s="3" t="s">
        <v>15</v>
      </c>
    </row>
  </sheetData>
  <autoFilter ref="A1:N1001" xr:uid="{86CE6019-55E8-4F2E-BBE3-C0A8696B6FB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5929-70DF-4361-81C2-EA06D6CD9977}">
  <dimension ref="A1:D94"/>
  <sheetViews>
    <sheetView workbookViewId="0">
      <selection activeCell="M2" sqref="M2"/>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7" t="s">
        <v>43</v>
      </c>
      <c r="B1" s="7" t="s">
        <v>44</v>
      </c>
      <c r="C1" s="3"/>
      <c r="D1" s="3"/>
    </row>
    <row r="2" spans="1:4" x14ac:dyDescent="0.35">
      <c r="A2" s="7" t="s">
        <v>41</v>
      </c>
      <c r="B2" s="3" t="s">
        <v>18</v>
      </c>
      <c r="C2" s="3" t="s">
        <v>15</v>
      </c>
      <c r="D2" s="3" t="s">
        <v>42</v>
      </c>
    </row>
    <row r="3" spans="1:4" x14ac:dyDescent="0.35">
      <c r="A3" s="3" t="s">
        <v>38</v>
      </c>
      <c r="B3" s="5">
        <v>33000</v>
      </c>
      <c r="C3" s="5">
        <v>26363.636363636364</v>
      </c>
      <c r="D3" s="5">
        <v>29523.809523809523</v>
      </c>
    </row>
    <row r="4" spans="1:4" x14ac:dyDescent="0.35">
      <c r="A4" s="3" t="s">
        <v>39</v>
      </c>
      <c r="B4" s="5">
        <v>36363.63636363636</v>
      </c>
      <c r="C4" s="5">
        <v>34000</v>
      </c>
      <c r="D4" s="5">
        <v>35625</v>
      </c>
    </row>
    <row r="5" spans="1:4" x14ac:dyDescent="0.35">
      <c r="A5" s="3" t="s">
        <v>42</v>
      </c>
      <c r="B5" s="5">
        <v>34761.904761904763</v>
      </c>
      <c r="C5" s="5">
        <v>28750</v>
      </c>
      <c r="D5" s="5">
        <v>32162.162162162163</v>
      </c>
    </row>
    <row r="24" spans="1:4" x14ac:dyDescent="0.35">
      <c r="A24" s="6" t="s">
        <v>45</v>
      </c>
      <c r="B24" s="6" t="s">
        <v>44</v>
      </c>
    </row>
    <row r="25" spans="1:4" x14ac:dyDescent="0.35">
      <c r="A25" s="6" t="s">
        <v>41</v>
      </c>
      <c r="B25" t="s">
        <v>18</v>
      </c>
      <c r="C25" t="s">
        <v>15</v>
      </c>
      <c r="D25" t="s">
        <v>42</v>
      </c>
    </row>
    <row r="26" spans="1:4" x14ac:dyDescent="0.35">
      <c r="A26" s="3" t="s">
        <v>16</v>
      </c>
      <c r="B26" s="10">
        <v>5</v>
      </c>
      <c r="C26" s="10">
        <v>9</v>
      </c>
      <c r="D26" s="10">
        <v>14</v>
      </c>
    </row>
    <row r="27" spans="1:4" x14ac:dyDescent="0.35">
      <c r="A27" s="3" t="s">
        <v>26</v>
      </c>
      <c r="B27" s="10">
        <v>4</v>
      </c>
      <c r="C27" s="10"/>
      <c r="D27" s="10">
        <v>4</v>
      </c>
    </row>
    <row r="28" spans="1:4" x14ac:dyDescent="0.35">
      <c r="A28" s="3" t="s">
        <v>22</v>
      </c>
      <c r="B28" s="10">
        <v>8</v>
      </c>
      <c r="C28" s="10">
        <v>5</v>
      </c>
      <c r="D28" s="10">
        <v>13</v>
      </c>
    </row>
    <row r="29" spans="1:4" x14ac:dyDescent="0.35">
      <c r="A29" s="3" t="s">
        <v>23</v>
      </c>
      <c r="B29" s="10">
        <v>3</v>
      </c>
      <c r="C29" s="10">
        <v>2</v>
      </c>
      <c r="D29" s="10">
        <v>5</v>
      </c>
    </row>
    <row r="30" spans="1:4" x14ac:dyDescent="0.35">
      <c r="A30" s="3" t="s">
        <v>46</v>
      </c>
      <c r="B30" s="10">
        <v>1</v>
      </c>
      <c r="C30" s="10"/>
      <c r="D30" s="10">
        <v>1</v>
      </c>
    </row>
    <row r="31" spans="1:4" x14ac:dyDescent="0.35">
      <c r="A31" s="3" t="s">
        <v>42</v>
      </c>
      <c r="B31" s="10">
        <v>21</v>
      </c>
      <c r="C31" s="10">
        <v>16</v>
      </c>
      <c r="D31" s="10">
        <v>37</v>
      </c>
    </row>
    <row r="47" spans="1:4" x14ac:dyDescent="0.35">
      <c r="A47" s="6" t="s">
        <v>45</v>
      </c>
      <c r="B47" s="6" t="s">
        <v>44</v>
      </c>
    </row>
    <row r="48" spans="1:4" x14ac:dyDescent="0.35">
      <c r="A48" s="6" t="s">
        <v>41</v>
      </c>
      <c r="B48" t="s">
        <v>18</v>
      </c>
      <c r="C48" t="s">
        <v>15</v>
      </c>
      <c r="D48" t="s">
        <v>42</v>
      </c>
    </row>
    <row r="49" spans="1:4" x14ac:dyDescent="0.35">
      <c r="A49" s="3" t="s">
        <v>50</v>
      </c>
      <c r="B49" s="10">
        <v>8</v>
      </c>
      <c r="C49" s="10"/>
      <c r="D49" s="10">
        <v>8</v>
      </c>
    </row>
    <row r="50" spans="1:4" x14ac:dyDescent="0.35">
      <c r="A50" s="3" t="s">
        <v>47</v>
      </c>
      <c r="B50" s="10">
        <v>11</v>
      </c>
      <c r="C50" s="10">
        <v>16</v>
      </c>
      <c r="D50" s="10">
        <v>27</v>
      </c>
    </row>
    <row r="51" spans="1:4" x14ac:dyDescent="0.35">
      <c r="A51" s="3" t="s">
        <v>48</v>
      </c>
      <c r="B51" s="10">
        <v>2</v>
      </c>
      <c r="C51" s="10"/>
      <c r="D51" s="10">
        <v>2</v>
      </c>
    </row>
    <row r="52" spans="1:4" x14ac:dyDescent="0.35">
      <c r="A52" s="3" t="s">
        <v>42</v>
      </c>
      <c r="B52" s="10">
        <v>21</v>
      </c>
      <c r="C52" s="10">
        <v>16</v>
      </c>
      <c r="D52" s="10">
        <v>37</v>
      </c>
    </row>
    <row r="70" spans="1:4" x14ac:dyDescent="0.35">
      <c r="A70" s="6" t="s">
        <v>45</v>
      </c>
      <c r="B70" s="6" t="s">
        <v>44</v>
      </c>
    </row>
    <row r="71" spans="1:4" x14ac:dyDescent="0.35">
      <c r="A71" s="6" t="s">
        <v>41</v>
      </c>
      <c r="B71" t="s">
        <v>18</v>
      </c>
      <c r="C71" t="s">
        <v>15</v>
      </c>
      <c r="D71" t="s">
        <v>42</v>
      </c>
    </row>
    <row r="72" spans="1:4" x14ac:dyDescent="0.35">
      <c r="A72" s="3">
        <v>27</v>
      </c>
      <c r="B72" s="10">
        <v>1</v>
      </c>
      <c r="C72" s="10"/>
      <c r="D72" s="10">
        <v>1</v>
      </c>
    </row>
    <row r="73" spans="1:4" x14ac:dyDescent="0.35">
      <c r="A73" s="3">
        <v>28</v>
      </c>
      <c r="B73" s="10">
        <v>3</v>
      </c>
      <c r="C73" s="10"/>
      <c r="D73" s="10">
        <v>3</v>
      </c>
    </row>
    <row r="74" spans="1:4" x14ac:dyDescent="0.35">
      <c r="A74" s="3">
        <v>29</v>
      </c>
      <c r="B74" s="10">
        <v>2</v>
      </c>
      <c r="C74" s="10"/>
      <c r="D74" s="10">
        <v>2</v>
      </c>
    </row>
    <row r="75" spans="1:4" x14ac:dyDescent="0.35">
      <c r="A75" s="3">
        <v>30</v>
      </c>
      <c r="B75" s="10">
        <v>2</v>
      </c>
      <c r="C75" s="10"/>
      <c r="D75" s="10">
        <v>2</v>
      </c>
    </row>
    <row r="76" spans="1:4" x14ac:dyDescent="0.35">
      <c r="A76" s="3">
        <v>31</v>
      </c>
      <c r="B76" s="10">
        <v>1</v>
      </c>
      <c r="C76" s="10"/>
      <c r="D76" s="10">
        <v>1</v>
      </c>
    </row>
    <row r="77" spans="1:4" x14ac:dyDescent="0.35">
      <c r="A77" s="3">
        <v>32</v>
      </c>
      <c r="B77" s="10">
        <v>2</v>
      </c>
      <c r="C77" s="10">
        <v>1</v>
      </c>
      <c r="D77" s="10">
        <v>3</v>
      </c>
    </row>
    <row r="78" spans="1:4" x14ac:dyDescent="0.35">
      <c r="A78" s="3">
        <v>33</v>
      </c>
      <c r="B78" s="10"/>
      <c r="C78" s="10">
        <v>1</v>
      </c>
      <c r="D78" s="10">
        <v>1</v>
      </c>
    </row>
    <row r="79" spans="1:4" x14ac:dyDescent="0.35">
      <c r="A79" s="3">
        <v>34</v>
      </c>
      <c r="B79" s="10">
        <v>1</v>
      </c>
      <c r="C79" s="10">
        <v>2</v>
      </c>
      <c r="D79" s="10">
        <v>3</v>
      </c>
    </row>
    <row r="80" spans="1:4" x14ac:dyDescent="0.35">
      <c r="A80" s="3">
        <v>35</v>
      </c>
      <c r="B80" s="10">
        <v>2</v>
      </c>
      <c r="C80" s="10">
        <v>1</v>
      </c>
      <c r="D80" s="10">
        <v>3</v>
      </c>
    </row>
    <row r="81" spans="1:4" x14ac:dyDescent="0.35">
      <c r="A81" s="3">
        <v>36</v>
      </c>
      <c r="B81" s="10"/>
      <c r="C81" s="10">
        <v>2</v>
      </c>
      <c r="D81" s="10">
        <v>2</v>
      </c>
    </row>
    <row r="82" spans="1:4" x14ac:dyDescent="0.35">
      <c r="A82" s="3">
        <v>37</v>
      </c>
      <c r="B82" s="10"/>
      <c r="C82" s="10">
        <v>1</v>
      </c>
      <c r="D82" s="10">
        <v>1</v>
      </c>
    </row>
    <row r="83" spans="1:4" x14ac:dyDescent="0.35">
      <c r="A83" s="3">
        <v>38</v>
      </c>
      <c r="B83" s="10"/>
      <c r="C83" s="10">
        <v>2</v>
      </c>
      <c r="D83" s="10">
        <v>2</v>
      </c>
    </row>
    <row r="84" spans="1:4" x14ac:dyDescent="0.35">
      <c r="A84" s="3">
        <v>39</v>
      </c>
      <c r="B84" s="10"/>
      <c r="C84" s="10">
        <v>1</v>
      </c>
      <c r="D84" s="10">
        <v>1</v>
      </c>
    </row>
    <row r="85" spans="1:4" x14ac:dyDescent="0.35">
      <c r="A85" s="3">
        <v>40</v>
      </c>
      <c r="B85" s="10">
        <v>1</v>
      </c>
      <c r="C85" s="10">
        <v>1</v>
      </c>
      <c r="D85" s="10">
        <v>2</v>
      </c>
    </row>
    <row r="86" spans="1:4" x14ac:dyDescent="0.35">
      <c r="A86" s="3">
        <v>42</v>
      </c>
      <c r="B86" s="10">
        <v>1</v>
      </c>
      <c r="C86" s="10">
        <v>1</v>
      </c>
      <c r="D86" s="10">
        <v>2</v>
      </c>
    </row>
    <row r="87" spans="1:4" x14ac:dyDescent="0.35">
      <c r="A87" s="3">
        <v>43</v>
      </c>
      <c r="B87" s="10"/>
      <c r="C87" s="10">
        <v>1</v>
      </c>
      <c r="D87" s="10">
        <v>1</v>
      </c>
    </row>
    <row r="88" spans="1:4" x14ac:dyDescent="0.35">
      <c r="A88" s="3">
        <v>45</v>
      </c>
      <c r="B88" s="10">
        <v>1</v>
      </c>
      <c r="C88" s="10"/>
      <c r="D88" s="10">
        <v>1</v>
      </c>
    </row>
    <row r="89" spans="1:4" x14ac:dyDescent="0.35">
      <c r="A89" s="3">
        <v>46</v>
      </c>
      <c r="B89" s="10"/>
      <c r="C89" s="10">
        <v>1</v>
      </c>
      <c r="D89" s="10">
        <v>1</v>
      </c>
    </row>
    <row r="90" spans="1:4" x14ac:dyDescent="0.35">
      <c r="A90" s="3">
        <v>50</v>
      </c>
      <c r="B90" s="10">
        <v>1</v>
      </c>
      <c r="C90" s="10">
        <v>1</v>
      </c>
      <c r="D90" s="10">
        <v>2</v>
      </c>
    </row>
    <row r="91" spans="1:4" x14ac:dyDescent="0.35">
      <c r="A91" s="3">
        <v>51</v>
      </c>
      <c r="B91" s="10">
        <v>1</v>
      </c>
      <c r="C91" s="10"/>
      <c r="D91" s="10">
        <v>1</v>
      </c>
    </row>
    <row r="92" spans="1:4" x14ac:dyDescent="0.35">
      <c r="A92" s="3">
        <v>56</v>
      </c>
      <c r="B92" s="10">
        <v>1</v>
      </c>
      <c r="C92" s="10"/>
      <c r="D92" s="10">
        <v>1</v>
      </c>
    </row>
    <row r="93" spans="1:4" x14ac:dyDescent="0.35">
      <c r="A93" s="3">
        <v>57</v>
      </c>
      <c r="B93" s="10">
        <v>1</v>
      </c>
      <c r="C93" s="10"/>
      <c r="D93" s="10">
        <v>1</v>
      </c>
    </row>
    <row r="94" spans="1:4" x14ac:dyDescent="0.35">
      <c r="A94" s="3" t="s">
        <v>42</v>
      </c>
      <c r="B94" s="10">
        <v>21</v>
      </c>
      <c r="C94" s="10">
        <v>16</v>
      </c>
      <c r="D94" s="10">
        <v>37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45BE-E1D5-4E8E-9081-0D6248F87F9A}">
  <dimension ref="A1:J5"/>
  <sheetViews>
    <sheetView showGridLines="0" zoomScale="60" zoomScaleNormal="60" workbookViewId="0">
      <selection sqref="A1:J5"/>
    </sheetView>
  </sheetViews>
  <sheetFormatPr defaultRowHeight="14.5" x14ac:dyDescent="0.35"/>
  <sheetData>
    <row r="1" spans="1:10" ht="14.5" customHeight="1" x14ac:dyDescent="0.35">
      <c r="A1" s="8" t="s">
        <v>49</v>
      </c>
      <c r="B1" s="9"/>
      <c r="C1" s="9"/>
      <c r="D1" s="9"/>
      <c r="E1" s="9"/>
      <c r="F1" s="9"/>
      <c r="G1" s="9"/>
      <c r="H1" s="9"/>
      <c r="I1" s="9"/>
      <c r="J1" s="9"/>
    </row>
    <row r="2" spans="1:10" ht="14.5" customHeight="1" x14ac:dyDescent="0.35">
      <c r="A2" s="9"/>
      <c r="B2" s="9"/>
      <c r="C2" s="9"/>
      <c r="D2" s="9"/>
      <c r="E2" s="9"/>
      <c r="F2" s="9"/>
      <c r="G2" s="9"/>
      <c r="H2" s="9"/>
      <c r="I2" s="9"/>
      <c r="J2" s="9"/>
    </row>
    <row r="3" spans="1:10" ht="14.5" customHeight="1" x14ac:dyDescent="0.35">
      <c r="A3" s="9"/>
      <c r="B3" s="9"/>
      <c r="C3" s="9"/>
      <c r="D3" s="9"/>
      <c r="E3" s="9"/>
      <c r="F3" s="9"/>
      <c r="G3" s="9"/>
      <c r="H3" s="9"/>
      <c r="I3" s="9"/>
      <c r="J3" s="9"/>
    </row>
    <row r="4" spans="1:10" ht="14.5" customHeight="1" x14ac:dyDescent="0.35">
      <c r="A4" s="9"/>
      <c r="B4" s="9"/>
      <c r="C4" s="9"/>
      <c r="D4" s="9"/>
      <c r="E4" s="9"/>
      <c r="F4" s="9"/>
      <c r="G4" s="9"/>
      <c r="H4" s="9"/>
      <c r="I4" s="9"/>
      <c r="J4" s="9"/>
    </row>
    <row r="5" spans="1:10" ht="14.5" customHeight="1" x14ac:dyDescent="0.35">
      <c r="A5" s="9"/>
      <c r="B5" s="9"/>
      <c r="C5" s="9"/>
      <c r="D5" s="9"/>
      <c r="E5" s="9"/>
      <c r="F5" s="9"/>
      <c r="G5" s="9"/>
      <c r="H5" s="9"/>
      <c r="I5" s="9"/>
      <c r="J5" s="9"/>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vt:lpstr>
      <vt:lpstr>Working</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 Aniket</cp:lastModifiedBy>
  <dcterms:created xsi:type="dcterms:W3CDTF">2022-03-18T02:50:57Z</dcterms:created>
  <dcterms:modified xsi:type="dcterms:W3CDTF">2026-02-10T18:15:47Z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2026-02-10T05:09:25Z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060ba405-5429-4a88-b0a5-a9f96566a11d</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